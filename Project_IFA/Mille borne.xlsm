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2maxi\Desktop\timot\"/>
    </mc:Choice>
  </mc:AlternateContent>
  <xr:revisionPtr revIDLastSave="0" documentId="8_{2BF98E2B-D052-4AB0-87EF-88055DAB1AF3}" xr6:coauthVersionLast="45" xr6:coauthVersionMax="45" xr10:uidLastSave="{00000000-0000-0000-0000-000000000000}"/>
  <bookViews>
    <workbookView xWindow="-120" yWindow="-120" windowWidth="29040" windowHeight="15840" xr2:uid="{A1702900-C7B4-4069-A04B-B1F1DEA9DC58}"/>
  </bookViews>
  <sheets>
    <sheet name="Circuit" sheetId="5" r:id="rId1"/>
    <sheet name="Données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7" i="4" l="1"/>
  <c r="V7" i="4"/>
  <c r="W13" i="4"/>
  <c r="W12" i="4"/>
  <c r="W11" i="4"/>
  <c r="W10" i="4"/>
  <c r="W9" i="4"/>
  <c r="W8" i="4"/>
  <c r="V8" i="4"/>
  <c r="V13" i="4"/>
  <c r="V12" i="4"/>
  <c r="V11" i="4"/>
  <c r="V10" i="4"/>
  <c r="V9" i="4"/>
  <c r="U27" i="4" l="1"/>
  <c r="L2" i="4" l="1"/>
  <c r="AC26" i="5" l="1"/>
  <c r="AC14" i="5"/>
  <c r="P29" i="4"/>
  <c r="P17" i="4"/>
</calcChain>
</file>

<file path=xl/sharedStrings.xml><?xml version="1.0" encoding="utf-8"?>
<sst xmlns="http://schemas.openxmlformats.org/spreadsheetml/2006/main" count="171" uniqueCount="75">
  <si>
    <t>vert</t>
  </si>
  <si>
    <t>citerne</t>
  </si>
  <si>
    <t>essence</t>
  </si>
  <si>
    <t>flimite</t>
  </si>
  <si>
    <t>increvable</t>
  </si>
  <si>
    <t>limite</t>
  </si>
  <si>
    <t>prioritaire</t>
  </si>
  <si>
    <t>roue</t>
  </si>
  <si>
    <t>volant</t>
  </si>
  <si>
    <t>joueur 1</t>
  </si>
  <si>
    <t>Feux vert</t>
  </si>
  <si>
    <t>reparation</t>
  </si>
  <si>
    <t>joueur 2</t>
  </si>
  <si>
    <t>a</t>
  </si>
  <si>
    <t>b</t>
  </si>
  <si>
    <t>nombre de malus</t>
  </si>
  <si>
    <t>Score J1</t>
  </si>
  <si>
    <t>Score J2</t>
  </si>
  <si>
    <t>Score board</t>
  </si>
  <si>
    <t>Joueur 1</t>
  </si>
  <si>
    <t>Kilomètres :</t>
  </si>
  <si>
    <t>O km</t>
  </si>
  <si>
    <t>100 km</t>
  </si>
  <si>
    <t>200 km</t>
  </si>
  <si>
    <t>300 km</t>
  </si>
  <si>
    <t xml:space="preserve">400 km </t>
  </si>
  <si>
    <t>500 km</t>
  </si>
  <si>
    <t>600 km</t>
  </si>
  <si>
    <t>700 km</t>
  </si>
  <si>
    <t>800 km</t>
  </si>
  <si>
    <t>900 km</t>
  </si>
  <si>
    <t>1000 km</t>
  </si>
  <si>
    <t>Joueur 2</t>
  </si>
  <si>
    <t>nombre carte piochée</t>
  </si>
  <si>
    <t>malus dispo</t>
  </si>
  <si>
    <t>main du premier joueur</t>
  </si>
  <si>
    <t>main du deuxieme joueur</t>
  </si>
  <si>
    <t>Nom du Joueur1</t>
  </si>
  <si>
    <t>Nom du Joueur2</t>
  </si>
  <si>
    <t xml:space="preserve">Ce tableau permet de voir les </t>
  </si>
  <si>
    <t xml:space="preserve">malus de chaque joueur </t>
  </si>
  <si>
    <t>pas de malus et si celui-ci possede</t>
  </si>
  <si>
    <t>Carte présente dans la</t>
  </si>
  <si>
    <t xml:space="preserve">Carte présente dans la </t>
  </si>
  <si>
    <t>Malus Jouable</t>
  </si>
  <si>
    <t xml:space="preserve">La colonne C représente les cartes </t>
  </si>
  <si>
    <t xml:space="preserve">du jeux. L'effet de la carte est visble </t>
  </si>
  <si>
    <t>en colonne C .</t>
  </si>
  <si>
    <t>Si un "1" est présent en colonne D,</t>
  </si>
  <si>
    <t>alors la carte n'a pas été piochée ,</t>
  </si>
  <si>
    <t>elle est encore dans le paquet.</t>
  </si>
  <si>
    <t xml:space="preserve">Si on peut voir un "0", alors la </t>
  </si>
  <si>
    <t>carte a été piochée.</t>
  </si>
  <si>
    <t>rouge</t>
  </si>
  <si>
    <t>creve</t>
  </si>
  <si>
    <t>accident</t>
  </si>
  <si>
    <t>pessence</t>
  </si>
  <si>
    <t>Réparation</t>
  </si>
  <si>
    <t>Voiture J1</t>
  </si>
  <si>
    <t>Voiture J2</t>
  </si>
  <si>
    <t>Voiture choisi</t>
  </si>
  <si>
    <t>Voiture_rose</t>
  </si>
  <si>
    <t>Voiture_verte</t>
  </si>
  <si>
    <t>Cabriolet</t>
  </si>
  <si>
    <t>4x4</t>
  </si>
  <si>
    <t>Voiture_rouge</t>
  </si>
  <si>
    <t>liste voitures (disponibles si a / non disponible si b)</t>
  </si>
  <si>
    <t>taxi</t>
  </si>
  <si>
    <t>Abandon J1</t>
  </si>
  <si>
    <t>Abandon J2</t>
  </si>
  <si>
    <t xml:space="preserve">Il y a un "a" si le joueur ne possede </t>
  </si>
  <si>
    <t>un malus alors il y aura un "b".</t>
  </si>
  <si>
    <t xml:space="preserve">Posibilité de jouer un malus </t>
  </si>
  <si>
    <t>ZAZ</t>
  </si>
  <si>
    <t>AZE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</si>
</sst>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24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indexed="64"/>
      </left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0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9" xfId="0" applyFill="1" applyBorder="1"/>
    <xf numFmtId="0" fontId="0" fillId="2" borderId="10" xfId="0" applyFill="1" applyBorder="1"/>
    <xf numFmtId="0" fontId="0" fillId="3" borderId="10" xfId="0" applyFill="1" applyBorder="1"/>
    <xf numFmtId="0" fontId="0" fillId="4" borderId="12" xfId="0" applyFill="1" applyBorder="1"/>
    <xf numFmtId="0" fontId="0" fillId="4" borderId="0" xfId="0" applyFill="1" applyBorder="1"/>
    <xf numFmtId="0" fontId="0" fillId="4" borderId="10" xfId="0" applyFill="1" applyBorder="1"/>
    <xf numFmtId="0" fontId="0" fillId="4" borderId="11" xfId="0" applyFill="1" applyBorder="1"/>
    <xf numFmtId="0" fontId="0" fillId="2" borderId="0" xfId="0" applyFill="1" applyBorder="1"/>
    <xf numFmtId="0" fontId="7" fillId="6" borderId="0" xfId="0" applyFont="1" applyFill="1"/>
    <xf numFmtId="0" fontId="7" fillId="6" borderId="12" xfId="0" applyFont="1" applyFill="1" applyBorder="1"/>
    <xf numFmtId="0" fontId="0" fillId="6" borderId="0" xfId="0" applyFill="1" applyBorder="1"/>
    <xf numFmtId="0" fontId="0" fillId="3" borderId="11" xfId="0" applyFill="1" applyBorder="1"/>
    <xf numFmtId="0" fontId="0" fillId="3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4" borderId="15" xfId="0" applyFill="1" applyBorder="1"/>
    <xf numFmtId="0" fontId="0" fillId="5" borderId="0" xfId="0" applyFill="1" applyBorder="1" applyAlignment="1"/>
    <xf numFmtId="0" fontId="0" fillId="5" borderId="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/>
    <xf numFmtId="0" fontId="0" fillId="5" borderId="4" xfId="0" applyFill="1" applyBorder="1" applyAlignment="1"/>
    <xf numFmtId="0" fontId="0" fillId="5" borderId="5" xfId="0" applyFill="1" applyBorder="1" applyAlignment="1"/>
    <xf numFmtId="0" fontId="0" fillId="5" borderId="6" xfId="0" applyFill="1" applyBorder="1" applyAlignment="1"/>
    <xf numFmtId="0" fontId="0" fillId="5" borderId="8" xfId="0" applyFill="1" applyBorder="1" applyAlignment="1"/>
    <xf numFmtId="0" fontId="0" fillId="3" borderId="1" xfId="0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7" borderId="16" xfId="0" applyFill="1" applyBorder="1"/>
    <xf numFmtId="0" fontId="0" fillId="10" borderId="16" xfId="0" applyFill="1" applyBorder="1"/>
    <xf numFmtId="0" fontId="0" fillId="0" borderId="0" xfId="0" applyFill="1"/>
    <xf numFmtId="0" fontId="0" fillId="9" borderId="16" xfId="0" applyFill="1" applyBorder="1" applyAlignment="1">
      <alignment horizontal="right"/>
    </xf>
    <xf numFmtId="0" fontId="0" fillId="8" borderId="16" xfId="0" applyFill="1" applyBorder="1" applyAlignment="1">
      <alignment horizontal="right"/>
    </xf>
    <xf numFmtId="0" fontId="0" fillId="11" borderId="16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11" borderId="18" xfId="0" applyFill="1" applyBorder="1" applyAlignment="1">
      <alignment horizontal="right"/>
    </xf>
    <xf numFmtId="0" fontId="0" fillId="11" borderId="19" xfId="0" applyFill="1" applyBorder="1" applyAlignment="1">
      <alignment horizontal="right"/>
    </xf>
    <xf numFmtId="0" fontId="0" fillId="11" borderId="6" xfId="0" applyFill="1" applyBorder="1" applyAlignment="1">
      <alignment horizontal="right"/>
    </xf>
    <xf numFmtId="0" fontId="0" fillId="11" borderId="17" xfId="0" applyFill="1" applyBorder="1" applyAlignment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left"/>
    </xf>
    <xf numFmtId="0" fontId="0" fillId="11" borderId="1" xfId="0" applyFill="1" applyBorder="1" applyAlignment="1">
      <alignment horizontal="left"/>
    </xf>
    <xf numFmtId="0" fontId="0" fillId="11" borderId="4" xfId="0" applyFill="1" applyBorder="1" applyAlignment="1">
      <alignment horizontal="left"/>
    </xf>
    <xf numFmtId="0" fontId="0" fillId="11" borderId="6" xfId="0" applyFill="1" applyBorder="1" applyAlignment="1">
      <alignment horizontal="left"/>
    </xf>
    <xf numFmtId="0" fontId="0" fillId="11" borderId="18" xfId="0" applyFill="1" applyBorder="1" applyAlignment="1">
      <alignment horizontal="left"/>
    </xf>
    <xf numFmtId="0" fontId="0" fillId="11" borderId="8" xfId="0" applyFill="1" applyBorder="1" applyAlignment="1">
      <alignment horizontal="right"/>
    </xf>
    <xf numFmtId="0" fontId="0" fillId="12" borderId="16" xfId="0" applyFill="1" applyBorder="1"/>
    <xf numFmtId="0" fontId="0" fillId="13" borderId="16" xfId="0" applyFill="1" applyBorder="1" applyAlignment="1">
      <alignment horizontal="center"/>
    </xf>
    <xf numFmtId="0" fontId="0" fillId="7" borderId="1" xfId="0" applyFont="1" applyFill="1" applyBorder="1" applyAlignment="1"/>
    <xf numFmtId="0" fontId="0" fillId="7" borderId="4" xfId="0" applyFont="1" applyFill="1" applyBorder="1" applyAlignment="1"/>
    <xf numFmtId="0" fontId="0" fillId="7" borderId="6" xfId="0" applyFont="1" applyFill="1" applyBorder="1" applyAlignment="1"/>
    <xf numFmtId="0" fontId="10" fillId="0" borderId="0" xfId="0" applyFont="1" applyFill="1" applyAlignment="1"/>
    <xf numFmtId="0" fontId="10" fillId="0" borderId="0" xfId="0" applyFont="1" applyFill="1"/>
    <xf numFmtId="0" fontId="0" fillId="0" borderId="0" xfId="0" applyFill="1" applyBorder="1" applyAlignment="1">
      <alignment horizontal="right"/>
    </xf>
    <xf numFmtId="0" fontId="9" fillId="0" borderId="0" xfId="0" applyFont="1" applyFill="1" applyBorder="1" applyAlignment="1">
      <alignment horizontal="right"/>
    </xf>
    <xf numFmtId="0" fontId="0" fillId="0" borderId="0" xfId="0" applyFill="1" applyAlignment="1">
      <alignment horizontal="left"/>
    </xf>
    <xf numFmtId="0" fontId="0" fillId="7" borderId="2" xfId="0" applyFont="1" applyFill="1" applyBorder="1" applyAlignment="1"/>
    <xf numFmtId="0" fontId="0" fillId="7" borderId="0" xfId="0" applyFont="1" applyFill="1" applyBorder="1" applyAlignment="1"/>
    <xf numFmtId="0" fontId="0" fillId="7" borderId="7" xfId="0" applyFont="1" applyFill="1" applyBorder="1" applyAlignment="1"/>
    <xf numFmtId="0" fontId="10" fillId="0" borderId="0" xfId="0" applyFont="1" applyFill="1" applyBorder="1" applyAlignment="1">
      <alignment horizontal="center"/>
    </xf>
    <xf numFmtId="0" fontId="10" fillId="0" borderId="0" xfId="0" applyFont="1" applyFill="1" applyBorder="1" applyAlignment="1"/>
    <xf numFmtId="0" fontId="0" fillId="14" borderId="16" xfId="0" applyFill="1" applyBorder="1"/>
    <xf numFmtId="0" fontId="0" fillId="14" borderId="18" xfId="0" applyFill="1" applyBorder="1"/>
    <xf numFmtId="0" fontId="0" fillId="14" borderId="16" xfId="0" applyNumberFormat="1" applyFill="1" applyBorder="1" applyAlignment="1">
      <alignment horizontal="left"/>
    </xf>
    <xf numFmtId="0" fontId="0" fillId="14" borderId="16" xfId="0" applyFill="1" applyBorder="1" applyAlignment="1">
      <alignment horizontal="left"/>
    </xf>
    <xf numFmtId="0" fontId="0" fillId="15" borderId="16" xfId="0" applyFill="1" applyBorder="1"/>
    <xf numFmtId="0" fontId="0" fillId="5" borderId="1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5" fillId="5" borderId="0" xfId="0" applyFont="1" applyFill="1" applyAlignment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12" borderId="16" xfId="0" applyFill="1" applyBorder="1" applyAlignment="1">
      <alignment horizontal="center"/>
    </xf>
    <xf numFmtId="0" fontId="0" fillId="14" borderId="16" xfId="0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g"/><Relationship Id="rId13" Type="http://schemas.openxmlformats.org/officeDocument/2006/relationships/image" Target="../media/image13.png"/><Relationship Id="rId3" Type="http://schemas.openxmlformats.org/officeDocument/2006/relationships/image" Target="../media/image3.jpg"/><Relationship Id="rId7" Type="http://schemas.openxmlformats.org/officeDocument/2006/relationships/image" Target="../media/image7.jpg"/><Relationship Id="rId12" Type="http://schemas.openxmlformats.org/officeDocument/2006/relationships/image" Target="../media/image12.jp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11" Type="http://schemas.openxmlformats.org/officeDocument/2006/relationships/image" Target="../media/image11.jpg"/><Relationship Id="rId5" Type="http://schemas.openxmlformats.org/officeDocument/2006/relationships/image" Target="../media/image5.jpg"/><Relationship Id="rId15" Type="http://schemas.openxmlformats.org/officeDocument/2006/relationships/image" Target="../media/image15.pn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311150</xdr:colOff>
      <xdr:row>2</xdr:row>
      <xdr:rowOff>48185</xdr:rowOff>
    </xdr:from>
    <xdr:to>
      <xdr:col>2</xdr:col>
      <xdr:colOff>466225</xdr:colOff>
      <xdr:row>5</xdr:row>
      <xdr:rowOff>104855</xdr:rowOff>
    </xdr:to>
    <xdr:pic>
      <xdr:nvPicPr>
        <xdr:cNvPr id="2" name="Voiture_rose_J1" hidden="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5" t="6323" r="6090" b="10893"/>
        <a:stretch/>
      </xdr:blipFill>
      <xdr:spPr>
        <a:xfrm>
          <a:off x="311150" y="429185"/>
          <a:ext cx="1231400" cy="628170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9</xdr:row>
      <xdr:rowOff>128193</xdr:rowOff>
    </xdr:from>
    <xdr:to>
      <xdr:col>2</xdr:col>
      <xdr:colOff>509753</xdr:colOff>
      <xdr:row>13</xdr:row>
      <xdr:rowOff>7633</xdr:rowOff>
    </xdr:to>
    <xdr:pic>
      <xdr:nvPicPr>
        <xdr:cNvPr id="3" name="Voiture_verte_J2" hidden="1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" y="1842693"/>
          <a:ext cx="1274928" cy="641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657225</xdr:colOff>
          <xdr:row>30</xdr:row>
          <xdr:rowOff>47625</xdr:rowOff>
        </xdr:from>
        <xdr:to>
          <xdr:col>31</xdr:col>
          <xdr:colOff>0</xdr:colOff>
          <xdr:row>39</xdr:row>
          <xdr:rowOff>85725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fr-FR" sz="2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Lancer la partie</a:t>
              </a: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  <a:p>
              <a:pPr algn="ctr" rtl="0">
                <a:defRPr sz="1000"/>
              </a:pPr>
              <a:endParaRPr lang="fr-FR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8282</xdr:colOff>
      <xdr:row>18</xdr:row>
      <xdr:rowOff>0</xdr:rowOff>
    </xdr:from>
    <xdr:to>
      <xdr:col>9</xdr:col>
      <xdr:colOff>8282</xdr:colOff>
      <xdr:row>28</xdr:row>
      <xdr:rowOff>19050</xdr:rowOff>
    </xdr:to>
    <xdr:pic>
      <xdr:nvPicPr>
        <xdr:cNvPr id="18" name="feuv_J1" hidden="1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021" y="3429000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40</xdr:row>
      <xdr:rowOff>0</xdr:rowOff>
    </xdr:from>
    <xdr:to>
      <xdr:col>12</xdr:col>
      <xdr:colOff>0</xdr:colOff>
      <xdr:row>50</xdr:row>
      <xdr:rowOff>19050</xdr:rowOff>
    </xdr:to>
    <xdr:pic>
      <xdr:nvPicPr>
        <xdr:cNvPr id="20" name="volant_J1" hidden="1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739" y="7620000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7</xdr:col>
      <xdr:colOff>8282</xdr:colOff>
      <xdr:row>40</xdr:row>
      <xdr:rowOff>0</xdr:rowOff>
    </xdr:from>
    <xdr:to>
      <xdr:col>9</xdr:col>
      <xdr:colOff>8282</xdr:colOff>
      <xdr:row>50</xdr:row>
      <xdr:rowOff>19050</xdr:rowOff>
    </xdr:to>
    <xdr:pic>
      <xdr:nvPicPr>
        <xdr:cNvPr id="22" name="citerne_J1" hidden="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021" y="7620000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7</xdr:col>
      <xdr:colOff>8283</xdr:colOff>
      <xdr:row>28</xdr:row>
      <xdr:rowOff>182218</xdr:rowOff>
    </xdr:from>
    <xdr:to>
      <xdr:col>9</xdr:col>
      <xdr:colOff>8283</xdr:colOff>
      <xdr:row>39</xdr:row>
      <xdr:rowOff>10768</xdr:rowOff>
    </xdr:to>
    <xdr:pic>
      <xdr:nvPicPr>
        <xdr:cNvPr id="24" name="accident_J1" hidden="1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5022" y="5516218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8283</xdr:colOff>
      <xdr:row>29</xdr:row>
      <xdr:rowOff>8284</xdr:rowOff>
    </xdr:from>
    <xdr:to>
      <xdr:col>3</xdr:col>
      <xdr:colOff>8283</xdr:colOff>
      <xdr:row>39</xdr:row>
      <xdr:rowOff>27334</xdr:rowOff>
    </xdr:to>
    <xdr:pic>
      <xdr:nvPicPr>
        <xdr:cNvPr id="26" name="ldv50_J1" hidden="1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022" y="5532784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8282</xdr:colOff>
      <xdr:row>29</xdr:row>
      <xdr:rowOff>0</xdr:rowOff>
    </xdr:from>
    <xdr:to>
      <xdr:col>6</xdr:col>
      <xdr:colOff>8282</xdr:colOff>
      <xdr:row>39</xdr:row>
      <xdr:rowOff>19050</xdr:rowOff>
    </xdr:to>
    <xdr:pic>
      <xdr:nvPicPr>
        <xdr:cNvPr id="28" name="panne_J1" hidden="1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9021" y="5524500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3</xdr:col>
      <xdr:colOff>756616</xdr:colOff>
      <xdr:row>40</xdr:row>
      <xdr:rowOff>8283</xdr:rowOff>
    </xdr:from>
    <xdr:to>
      <xdr:col>5</xdr:col>
      <xdr:colOff>756616</xdr:colOff>
      <xdr:row>50</xdr:row>
      <xdr:rowOff>27333</xdr:rowOff>
    </xdr:to>
    <xdr:pic>
      <xdr:nvPicPr>
        <xdr:cNvPr id="30" name="prioritaire_J1" hidden="1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355" y="7628283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1</xdr:col>
      <xdr:colOff>1242</xdr:colOff>
      <xdr:row>40</xdr:row>
      <xdr:rowOff>3314</xdr:rowOff>
    </xdr:from>
    <xdr:to>
      <xdr:col>3</xdr:col>
      <xdr:colOff>1242</xdr:colOff>
      <xdr:row>50</xdr:row>
      <xdr:rowOff>22364</xdr:rowOff>
    </xdr:to>
    <xdr:pic>
      <xdr:nvPicPr>
        <xdr:cNvPr id="32" name="increvable_J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5981" y="7623314"/>
          <a:ext cx="1524000" cy="1924050"/>
        </a:xfrm>
        <a:prstGeom prst="rect">
          <a:avLst/>
        </a:prstGeom>
      </xdr:spPr>
    </xdr:pic>
    <xdr:clientData/>
  </xdr:twoCellAnchor>
  <xdr:twoCellAnchor editAs="oneCell">
    <xdr:from>
      <xdr:col>3</xdr:col>
      <xdr:colOff>760712</xdr:colOff>
      <xdr:row>18</xdr:row>
      <xdr:rowOff>2245</xdr:rowOff>
    </xdr:from>
    <xdr:to>
      <xdr:col>5</xdr:col>
      <xdr:colOff>760712</xdr:colOff>
      <xdr:row>28</xdr:row>
      <xdr:rowOff>26632</xdr:rowOff>
    </xdr:to>
    <xdr:pic>
      <xdr:nvPicPr>
        <xdr:cNvPr id="34" name="feur_J1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13418" y="3364010"/>
          <a:ext cx="1524000" cy="1906975"/>
        </a:xfrm>
        <a:prstGeom prst="rect">
          <a:avLst/>
        </a:prstGeom>
      </xdr:spPr>
    </xdr:pic>
    <xdr:clientData/>
  </xdr:twoCellAnchor>
  <xdr:twoCellAnchor editAs="oneCell">
    <xdr:from>
      <xdr:col>9</xdr:col>
      <xdr:colOff>758273</xdr:colOff>
      <xdr:row>29</xdr:row>
      <xdr:rowOff>12010</xdr:rowOff>
    </xdr:from>
    <xdr:to>
      <xdr:col>11</xdr:col>
      <xdr:colOff>758273</xdr:colOff>
      <xdr:row>39</xdr:row>
      <xdr:rowOff>35141</xdr:rowOff>
    </xdr:to>
    <xdr:pic>
      <xdr:nvPicPr>
        <xdr:cNvPr id="36" name="creve_J1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012" y="5536510"/>
          <a:ext cx="1524000" cy="1928131"/>
        </a:xfrm>
        <a:prstGeom prst="rect">
          <a:avLst/>
        </a:prstGeom>
      </xdr:spPr>
    </xdr:pic>
    <xdr:clientData/>
  </xdr:twoCellAnchor>
  <xdr:twoCellAnchor editAs="oneCell">
    <xdr:from>
      <xdr:col>19</xdr:col>
      <xdr:colOff>13607</xdr:colOff>
      <xdr:row>18</xdr:row>
      <xdr:rowOff>13607</xdr:rowOff>
    </xdr:from>
    <xdr:to>
      <xdr:col>21</xdr:col>
      <xdr:colOff>13607</xdr:colOff>
      <xdr:row>28</xdr:row>
      <xdr:rowOff>13607</xdr:rowOff>
    </xdr:to>
    <xdr:pic>
      <xdr:nvPicPr>
        <xdr:cNvPr id="7" name="feuv_J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42571" y="3442607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22</xdr:col>
      <xdr:colOff>13607</xdr:colOff>
      <xdr:row>40</xdr:row>
      <xdr:rowOff>7655</xdr:rowOff>
    </xdr:from>
    <xdr:to>
      <xdr:col>24</xdr:col>
      <xdr:colOff>13607</xdr:colOff>
      <xdr:row>50</xdr:row>
      <xdr:rowOff>7655</xdr:rowOff>
    </xdr:to>
    <xdr:pic>
      <xdr:nvPicPr>
        <xdr:cNvPr id="9" name="volant_J2" hidden="1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8571" y="7627655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1702</xdr:colOff>
      <xdr:row>40</xdr:row>
      <xdr:rowOff>7653</xdr:rowOff>
    </xdr:from>
    <xdr:to>
      <xdr:col>21</xdr:col>
      <xdr:colOff>1702</xdr:colOff>
      <xdr:row>50</xdr:row>
      <xdr:rowOff>7653</xdr:rowOff>
    </xdr:to>
    <xdr:pic>
      <xdr:nvPicPr>
        <xdr:cNvPr id="11" name="citerne_J2" hidden="1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30666" y="7627653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761999</xdr:colOff>
      <xdr:row>29</xdr:row>
      <xdr:rowOff>15308</xdr:rowOff>
    </xdr:from>
    <xdr:to>
      <xdr:col>21</xdr:col>
      <xdr:colOff>-1</xdr:colOff>
      <xdr:row>39</xdr:row>
      <xdr:rowOff>15308</xdr:rowOff>
    </xdr:to>
    <xdr:pic>
      <xdr:nvPicPr>
        <xdr:cNvPr id="13" name="accident_J2" hidden="1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28963" y="5539808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1701</xdr:colOff>
      <xdr:row>29</xdr:row>
      <xdr:rowOff>15306</xdr:rowOff>
    </xdr:from>
    <xdr:to>
      <xdr:col>15</xdr:col>
      <xdr:colOff>1701</xdr:colOff>
      <xdr:row>39</xdr:row>
      <xdr:rowOff>15306</xdr:rowOff>
    </xdr:to>
    <xdr:pic>
      <xdr:nvPicPr>
        <xdr:cNvPr id="15" name="ldv50_J2" hidden="1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58665" y="5539806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6804</xdr:colOff>
      <xdr:row>29</xdr:row>
      <xdr:rowOff>8504</xdr:rowOff>
    </xdr:from>
    <xdr:to>
      <xdr:col>18</xdr:col>
      <xdr:colOff>6804</xdr:colOff>
      <xdr:row>39</xdr:row>
      <xdr:rowOff>8504</xdr:rowOff>
    </xdr:to>
    <xdr:pic>
      <xdr:nvPicPr>
        <xdr:cNvPr id="17" name="panne_J2" hidden="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49768" y="5533004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16159</xdr:colOff>
      <xdr:row>40</xdr:row>
      <xdr:rowOff>18710</xdr:rowOff>
    </xdr:from>
    <xdr:to>
      <xdr:col>18</xdr:col>
      <xdr:colOff>16159</xdr:colOff>
      <xdr:row>50</xdr:row>
      <xdr:rowOff>18710</xdr:rowOff>
    </xdr:to>
    <xdr:pic>
      <xdr:nvPicPr>
        <xdr:cNvPr id="21" name="prioritaire_J2" hidden="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9123" y="7638710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5952</xdr:colOff>
      <xdr:row>40</xdr:row>
      <xdr:rowOff>8504</xdr:rowOff>
    </xdr:from>
    <xdr:to>
      <xdr:col>15</xdr:col>
      <xdr:colOff>5952</xdr:colOff>
      <xdr:row>50</xdr:row>
      <xdr:rowOff>8504</xdr:rowOff>
    </xdr:to>
    <xdr:pic>
      <xdr:nvPicPr>
        <xdr:cNvPr id="25" name="increvable_J2" hidden="1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462916" y="7628504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16</xdr:col>
      <xdr:colOff>13607</xdr:colOff>
      <xdr:row>18</xdr:row>
      <xdr:rowOff>13608</xdr:rowOff>
    </xdr:from>
    <xdr:to>
      <xdr:col>18</xdr:col>
      <xdr:colOff>13607</xdr:colOff>
      <xdr:row>28</xdr:row>
      <xdr:rowOff>13608</xdr:rowOff>
    </xdr:to>
    <xdr:pic>
      <xdr:nvPicPr>
        <xdr:cNvPr id="29" name="feur_J2" hidden="1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56571" y="3442608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5953</xdr:colOff>
      <xdr:row>29</xdr:row>
      <xdr:rowOff>13607</xdr:rowOff>
    </xdr:from>
    <xdr:to>
      <xdr:col>24</xdr:col>
      <xdr:colOff>5953</xdr:colOff>
      <xdr:row>39</xdr:row>
      <xdr:rowOff>13607</xdr:rowOff>
    </xdr:to>
    <xdr:pic>
      <xdr:nvPicPr>
        <xdr:cNvPr id="33" name="creve_J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23469" y="5538107"/>
          <a:ext cx="1524000" cy="1905000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1</xdr:row>
      <xdr:rowOff>142981</xdr:rowOff>
    </xdr:from>
    <xdr:to>
      <xdr:col>2</xdr:col>
      <xdr:colOff>504624</xdr:colOff>
      <xdr:row>5</xdr:row>
      <xdr:rowOff>27305</xdr:rowOff>
    </xdr:to>
    <xdr:pic>
      <xdr:nvPicPr>
        <xdr:cNvPr id="38" name="Voiture_verte_J1" hidden="1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1150" y="333481"/>
          <a:ext cx="1269799" cy="646324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9</xdr:row>
      <xdr:rowOff>690</xdr:rowOff>
    </xdr:from>
    <xdr:to>
      <xdr:col>2</xdr:col>
      <xdr:colOff>467329</xdr:colOff>
      <xdr:row>12</xdr:row>
      <xdr:rowOff>57360</xdr:rowOff>
    </xdr:to>
    <xdr:pic>
      <xdr:nvPicPr>
        <xdr:cNvPr id="39" name="Voiture_rose_J2" hidden="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5" t="6323" r="6090" b="10893"/>
        <a:stretch/>
      </xdr:blipFill>
      <xdr:spPr>
        <a:xfrm>
          <a:off x="311150" y="1715190"/>
          <a:ext cx="1232504" cy="628170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2</xdr:row>
      <xdr:rowOff>90419</xdr:rowOff>
    </xdr:from>
    <xdr:to>
      <xdr:col>2</xdr:col>
      <xdr:colOff>547343</xdr:colOff>
      <xdr:row>6</xdr:row>
      <xdr:rowOff>37753</xdr:rowOff>
    </xdr:to>
    <xdr:pic>
      <xdr:nvPicPr>
        <xdr:cNvPr id="5" name="Voiture_rouge_J1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45" b="84565"/>
        <a:stretch/>
      </xdr:blipFill>
      <xdr:spPr>
        <a:xfrm>
          <a:off x="311150" y="471419"/>
          <a:ext cx="1312518" cy="709334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8</xdr:row>
      <xdr:rowOff>160130</xdr:rowOff>
    </xdr:from>
    <xdr:to>
      <xdr:col>2</xdr:col>
      <xdr:colOff>547343</xdr:colOff>
      <xdr:row>12</xdr:row>
      <xdr:rowOff>107464</xdr:rowOff>
    </xdr:to>
    <xdr:pic>
      <xdr:nvPicPr>
        <xdr:cNvPr id="40" name="Voiture_rouge_J2" hidden="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 r="87545" b="84565"/>
        <a:stretch/>
      </xdr:blipFill>
      <xdr:spPr>
        <a:xfrm>
          <a:off x="311150" y="1684130"/>
          <a:ext cx="1312518" cy="709334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8</xdr:row>
      <xdr:rowOff>108364</xdr:rowOff>
    </xdr:from>
    <xdr:to>
      <xdr:col>2</xdr:col>
      <xdr:colOff>519735</xdr:colOff>
      <xdr:row>12</xdr:row>
      <xdr:rowOff>26630</xdr:rowOff>
    </xdr:to>
    <xdr:pic>
      <xdr:nvPicPr>
        <xdr:cNvPr id="8" name="4x4_J2" hidden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" r="87545" b="86108"/>
        <a:stretch/>
      </xdr:blipFill>
      <xdr:spPr>
        <a:xfrm>
          <a:off x="311150" y="1632364"/>
          <a:ext cx="1284910" cy="680266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2</xdr:row>
      <xdr:rowOff>58531</xdr:rowOff>
    </xdr:from>
    <xdr:to>
      <xdr:col>2</xdr:col>
      <xdr:colOff>516560</xdr:colOff>
      <xdr:row>5</xdr:row>
      <xdr:rowOff>167297</xdr:rowOff>
    </xdr:to>
    <xdr:pic>
      <xdr:nvPicPr>
        <xdr:cNvPr id="41" name="4x4_J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21" r="87545" b="86108"/>
        <a:stretch/>
      </xdr:blipFill>
      <xdr:spPr>
        <a:xfrm>
          <a:off x="311150" y="439531"/>
          <a:ext cx="1281735" cy="680266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2</xdr:row>
      <xdr:rowOff>71399</xdr:rowOff>
    </xdr:from>
    <xdr:to>
      <xdr:col>2</xdr:col>
      <xdr:colOff>546929</xdr:colOff>
      <xdr:row>6</xdr:row>
      <xdr:rowOff>56721</xdr:rowOff>
    </xdr:to>
    <xdr:pic>
      <xdr:nvPicPr>
        <xdr:cNvPr id="14" name="Cabriolet_J1" hidden="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0" r="88108" b="85992"/>
        <a:stretch/>
      </xdr:blipFill>
      <xdr:spPr>
        <a:xfrm>
          <a:off x="311150" y="452399"/>
          <a:ext cx="1312104" cy="747322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9</xdr:row>
      <xdr:rowOff>35034</xdr:rowOff>
    </xdr:from>
    <xdr:to>
      <xdr:col>2</xdr:col>
      <xdr:colOff>543754</xdr:colOff>
      <xdr:row>13</xdr:row>
      <xdr:rowOff>20356</xdr:rowOff>
    </xdr:to>
    <xdr:pic>
      <xdr:nvPicPr>
        <xdr:cNvPr id="42" name="Cabriolet_J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0" r="88108" b="85992"/>
        <a:stretch/>
      </xdr:blipFill>
      <xdr:spPr>
        <a:xfrm>
          <a:off x="311150" y="1749534"/>
          <a:ext cx="1308929" cy="747322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1</xdr:row>
      <xdr:rowOff>95250</xdr:rowOff>
    </xdr:from>
    <xdr:to>
      <xdr:col>2</xdr:col>
      <xdr:colOff>439093</xdr:colOff>
      <xdr:row>5</xdr:row>
      <xdr:rowOff>40971</xdr:rowOff>
    </xdr:to>
    <xdr:pic>
      <xdr:nvPicPr>
        <xdr:cNvPr id="6" name="taxi_J1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" r="88713" b="86059"/>
        <a:stretch/>
      </xdr:blipFill>
      <xdr:spPr>
        <a:xfrm>
          <a:off x="311150" y="285750"/>
          <a:ext cx="1204268" cy="707721"/>
        </a:xfrm>
        <a:prstGeom prst="rect">
          <a:avLst/>
        </a:prstGeom>
      </xdr:spPr>
    </xdr:pic>
    <xdr:clientData/>
  </xdr:twoCellAnchor>
  <xdr:twoCellAnchor editAs="oneCell">
    <xdr:from>
      <xdr:col>0</xdr:col>
      <xdr:colOff>311150</xdr:colOff>
      <xdr:row>9</xdr:row>
      <xdr:rowOff>142874</xdr:rowOff>
    </xdr:from>
    <xdr:to>
      <xdr:col>2</xdr:col>
      <xdr:colOff>476227</xdr:colOff>
      <xdr:row>13</xdr:row>
      <xdr:rowOff>134011</xdr:rowOff>
    </xdr:to>
    <xdr:pic>
      <xdr:nvPicPr>
        <xdr:cNvPr id="37" name="taxi_J2" hidden="1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8" r="88713" b="86059"/>
        <a:stretch/>
      </xdr:blipFill>
      <xdr:spPr>
        <a:xfrm>
          <a:off x="311150" y="1857374"/>
          <a:ext cx="1241402" cy="75313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CD887-8300-4990-8559-13A03A66CF8C}">
  <sheetPr codeName="Feuil4"/>
  <dimension ref="A1:BD111"/>
  <sheetViews>
    <sheetView tabSelected="1" zoomScale="40" zoomScaleNormal="40" workbookViewId="0">
      <selection activeCell="AD42" sqref="AD42"/>
    </sheetView>
  </sheetViews>
  <sheetFormatPr baseColWidth="10" defaultRowHeight="15" x14ac:dyDescent="0.25"/>
  <cols>
    <col min="1" max="1" width="4.7109375" customWidth="1"/>
    <col min="25" max="25" width="5.5703125" customWidth="1"/>
  </cols>
  <sheetData>
    <row r="1" spans="1:56" x14ac:dyDescent="0.25">
      <c r="A1" s="14"/>
      <c r="B1" s="1"/>
      <c r="C1" s="6"/>
      <c r="D1" s="1"/>
      <c r="E1" s="6"/>
      <c r="F1" s="1"/>
      <c r="G1" s="6"/>
      <c r="H1" s="1"/>
      <c r="I1" s="6"/>
      <c r="J1" s="1"/>
      <c r="K1" s="6"/>
      <c r="L1" s="13"/>
      <c r="M1" s="6"/>
      <c r="N1" s="19"/>
      <c r="O1" s="1"/>
      <c r="P1" s="6"/>
      <c r="Q1" s="1"/>
      <c r="R1" s="6"/>
      <c r="S1" s="1"/>
      <c r="T1" s="6"/>
      <c r="U1" s="1"/>
      <c r="V1" s="6"/>
      <c r="W1" s="1"/>
      <c r="X1" s="6"/>
      <c r="Y1" s="16"/>
      <c r="Z1" s="31"/>
      <c r="AA1" s="32"/>
      <c r="AB1" s="32"/>
      <c r="AC1" s="32"/>
      <c r="AD1" s="32"/>
      <c r="AE1" s="32"/>
      <c r="AF1" s="33"/>
    </row>
    <row r="2" spans="1:56" x14ac:dyDescent="0.25">
      <c r="A2" s="14"/>
      <c r="B2" s="1"/>
      <c r="C2" s="7"/>
      <c r="D2" s="1"/>
      <c r="E2" s="7"/>
      <c r="F2" s="1"/>
      <c r="G2" s="7"/>
      <c r="H2" s="1"/>
      <c r="I2" s="7"/>
      <c r="J2" s="1"/>
      <c r="K2" s="7"/>
      <c r="L2" s="13"/>
      <c r="M2" s="7"/>
      <c r="N2" s="20"/>
      <c r="O2" s="1"/>
      <c r="P2" s="7"/>
      <c r="Q2" s="1"/>
      <c r="R2" s="7"/>
      <c r="S2" s="1"/>
      <c r="T2" s="7"/>
      <c r="U2" s="1"/>
      <c r="V2" s="7"/>
      <c r="W2" s="1"/>
      <c r="X2" s="7"/>
      <c r="Y2" s="16"/>
      <c r="Z2" s="34"/>
      <c r="AA2" s="35"/>
      <c r="AB2" s="35"/>
      <c r="AC2" s="35"/>
      <c r="AD2" s="35"/>
      <c r="AE2" s="35"/>
      <c r="AF2" s="36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3" spans="1:56" x14ac:dyDescent="0.25">
      <c r="A3" s="14"/>
      <c r="B3" s="1"/>
      <c r="C3" s="7"/>
      <c r="D3" s="1"/>
      <c r="E3" s="7"/>
      <c r="F3" s="1"/>
      <c r="G3" s="7"/>
      <c r="H3" s="1"/>
      <c r="I3" s="7"/>
      <c r="J3" s="1"/>
      <c r="K3" s="7"/>
      <c r="L3" s="13"/>
      <c r="M3" s="7"/>
      <c r="N3" s="20"/>
      <c r="O3" s="1"/>
      <c r="P3" s="7"/>
      <c r="Q3" s="1"/>
      <c r="R3" s="7"/>
      <c r="S3" s="1"/>
      <c r="T3" s="7"/>
      <c r="U3" s="1"/>
      <c r="V3" s="7"/>
      <c r="W3" s="1"/>
      <c r="X3" s="7"/>
      <c r="Y3" s="16"/>
      <c r="Z3" s="34"/>
      <c r="AA3" s="35"/>
      <c r="AB3" s="35"/>
      <c r="AC3" s="35"/>
      <c r="AD3" s="35"/>
      <c r="AE3" s="35"/>
      <c r="AF3" s="36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</row>
    <row r="4" spans="1:56" x14ac:dyDescent="0.25">
      <c r="A4" s="14"/>
      <c r="B4" s="1"/>
      <c r="C4" s="7"/>
      <c r="D4" s="1"/>
      <c r="E4" s="7"/>
      <c r="F4" s="1"/>
      <c r="G4" s="7"/>
      <c r="H4" s="1"/>
      <c r="I4" s="7"/>
      <c r="J4" s="1"/>
      <c r="K4" s="7"/>
      <c r="L4" s="13"/>
      <c r="M4" s="7"/>
      <c r="N4" s="20"/>
      <c r="O4" s="1"/>
      <c r="P4" s="7"/>
      <c r="Q4" s="1"/>
      <c r="R4" s="7"/>
      <c r="S4" s="1"/>
      <c r="T4" s="7"/>
      <c r="U4" s="1"/>
      <c r="V4" s="7"/>
      <c r="W4" s="1"/>
      <c r="X4" s="7"/>
      <c r="Y4" s="16"/>
      <c r="Z4" s="34"/>
      <c r="AA4" s="89" t="s">
        <v>18</v>
      </c>
      <c r="AB4" s="90"/>
      <c r="AC4" s="90"/>
      <c r="AD4" s="90"/>
      <c r="AE4" s="91"/>
      <c r="AF4" s="36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</row>
    <row r="5" spans="1:56" x14ac:dyDescent="0.25">
      <c r="A5" s="14"/>
      <c r="B5" s="1"/>
      <c r="C5" s="7"/>
      <c r="D5" s="1"/>
      <c r="E5" s="7"/>
      <c r="F5" s="1"/>
      <c r="G5" s="7"/>
      <c r="H5" s="1"/>
      <c r="I5" s="7"/>
      <c r="J5" s="1"/>
      <c r="K5" s="7"/>
      <c r="L5" s="13"/>
      <c r="M5" s="7"/>
      <c r="N5" s="20"/>
      <c r="O5" s="1"/>
      <c r="P5" s="7"/>
      <c r="Q5" s="1"/>
      <c r="R5" s="7"/>
      <c r="S5" s="1"/>
      <c r="T5" s="7"/>
      <c r="U5" s="1"/>
      <c r="V5" s="7"/>
      <c r="W5" s="1"/>
      <c r="X5" s="7"/>
      <c r="Y5" s="16"/>
      <c r="Z5" s="34"/>
      <c r="AA5" s="92"/>
      <c r="AB5" s="93"/>
      <c r="AC5" s="93"/>
      <c r="AD5" s="93"/>
      <c r="AE5" s="94"/>
      <c r="AF5" s="36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</row>
    <row r="6" spans="1:56" x14ac:dyDescent="0.25">
      <c r="A6" s="14"/>
      <c r="B6" s="1"/>
      <c r="C6" s="7"/>
      <c r="D6" s="1"/>
      <c r="E6" s="7"/>
      <c r="F6" s="1"/>
      <c r="G6" s="7"/>
      <c r="H6" s="1"/>
      <c r="I6" s="7"/>
      <c r="J6" s="1"/>
      <c r="K6" s="7"/>
      <c r="L6" s="13"/>
      <c r="M6" s="7"/>
      <c r="N6" s="20"/>
      <c r="O6" s="1"/>
      <c r="P6" s="7"/>
      <c r="Q6" s="1"/>
      <c r="R6" s="7"/>
      <c r="S6" s="1"/>
      <c r="T6" s="7"/>
      <c r="U6" s="1"/>
      <c r="V6" s="7"/>
      <c r="W6" s="1"/>
      <c r="X6" s="7"/>
      <c r="Y6" s="16"/>
      <c r="Z6" s="34"/>
      <c r="AA6" s="95"/>
      <c r="AB6" s="96"/>
      <c r="AC6" s="96"/>
      <c r="AD6" s="96"/>
      <c r="AE6" s="97"/>
      <c r="AF6" s="36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</row>
    <row r="7" spans="1:56" x14ac:dyDescent="0.25">
      <c r="A7" s="14"/>
      <c r="B7" s="1"/>
      <c r="C7" s="7"/>
      <c r="D7" s="1"/>
      <c r="E7" s="7"/>
      <c r="F7" s="1"/>
      <c r="G7" s="7"/>
      <c r="H7" s="1"/>
      <c r="I7" s="7"/>
      <c r="J7" s="1"/>
      <c r="K7" s="7"/>
      <c r="L7" s="13"/>
      <c r="M7" s="7"/>
      <c r="N7" s="20"/>
      <c r="O7" s="1"/>
      <c r="P7" s="7"/>
      <c r="Q7" s="1"/>
      <c r="R7" s="7"/>
      <c r="S7" s="1"/>
      <c r="T7" s="7"/>
      <c r="U7" s="1"/>
      <c r="V7" s="7"/>
      <c r="W7" s="1"/>
      <c r="X7" s="7"/>
      <c r="Y7" s="16"/>
      <c r="Z7" s="34"/>
      <c r="AA7" s="35"/>
      <c r="AB7" s="35"/>
      <c r="AC7" s="35"/>
      <c r="AD7" s="35"/>
      <c r="AE7" s="35"/>
      <c r="AF7" s="36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</row>
    <row r="8" spans="1:56" x14ac:dyDescent="0.25">
      <c r="A8" s="14"/>
      <c r="B8" s="2"/>
      <c r="C8" s="8"/>
      <c r="D8" s="1"/>
      <c r="E8" s="2"/>
      <c r="F8" s="8"/>
      <c r="G8" s="7"/>
      <c r="H8" s="2"/>
      <c r="I8" s="8"/>
      <c r="J8" s="1"/>
      <c r="K8" s="2"/>
      <c r="L8" s="18"/>
      <c r="M8" s="7"/>
      <c r="N8" s="2"/>
      <c r="O8" s="8"/>
      <c r="P8" s="7"/>
      <c r="Q8" s="2"/>
      <c r="R8" s="8"/>
      <c r="S8" s="1"/>
      <c r="T8" s="2"/>
      <c r="U8" s="8"/>
      <c r="V8" s="7"/>
      <c r="W8" s="2"/>
      <c r="X8" s="8"/>
      <c r="Y8" s="16"/>
      <c r="Z8" s="34"/>
      <c r="AA8" s="35"/>
      <c r="AB8" s="35"/>
      <c r="AC8" s="35"/>
      <c r="AD8" s="35"/>
      <c r="AE8" s="35"/>
      <c r="AF8" s="36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</row>
    <row r="9" spans="1:56" x14ac:dyDescent="0.25">
      <c r="A9" s="14"/>
      <c r="B9" s="1"/>
      <c r="C9" s="7"/>
      <c r="D9" s="1"/>
      <c r="E9" s="7"/>
      <c r="F9" s="1"/>
      <c r="G9" s="7"/>
      <c r="H9" s="1"/>
      <c r="I9" s="7"/>
      <c r="J9" s="1"/>
      <c r="K9" s="7"/>
      <c r="L9" s="13"/>
      <c r="M9" s="7"/>
      <c r="N9" s="20"/>
      <c r="O9" s="1"/>
      <c r="P9" s="7"/>
      <c r="Q9" s="1"/>
      <c r="R9" s="7"/>
      <c r="S9" s="1"/>
      <c r="T9" s="7"/>
      <c r="U9" s="1"/>
      <c r="V9" s="7"/>
      <c r="W9" s="1"/>
      <c r="X9" s="7"/>
      <c r="Y9" s="16"/>
      <c r="Z9" s="34"/>
      <c r="AA9" s="35"/>
      <c r="AB9" s="35"/>
      <c r="AC9" s="35"/>
      <c r="AD9" s="35"/>
      <c r="AE9" s="35"/>
      <c r="AF9" s="36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</row>
    <row r="10" spans="1:56" x14ac:dyDescent="0.25">
      <c r="A10" s="14"/>
      <c r="B10" s="1"/>
      <c r="C10" s="7"/>
      <c r="D10" s="1"/>
      <c r="E10" s="7"/>
      <c r="F10" s="1"/>
      <c r="G10" s="7"/>
      <c r="H10" s="1"/>
      <c r="I10" s="7"/>
      <c r="J10" s="1"/>
      <c r="K10" s="7"/>
      <c r="L10" s="13"/>
      <c r="M10" s="7"/>
      <c r="N10" s="20"/>
      <c r="O10" s="1"/>
      <c r="P10" s="7"/>
      <c r="Q10" s="1"/>
      <c r="R10" s="7"/>
      <c r="S10" s="1"/>
      <c r="T10" s="7"/>
      <c r="U10" s="1"/>
      <c r="V10" s="7"/>
      <c r="W10" s="1"/>
      <c r="X10" s="7"/>
      <c r="Y10" s="16"/>
      <c r="Z10" s="34"/>
      <c r="AA10" s="85" t="s">
        <v>73</v>
      </c>
      <c r="AB10" s="85"/>
      <c r="AC10" s="35"/>
      <c r="AD10" s="35"/>
      <c r="AE10" s="35"/>
      <c r="AF10" s="36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</row>
    <row r="11" spans="1:56" x14ac:dyDescent="0.25">
      <c r="A11" s="14"/>
      <c r="B11" s="1"/>
      <c r="C11" s="7"/>
      <c r="D11" s="1"/>
      <c r="E11" s="7"/>
      <c r="F11" s="1"/>
      <c r="G11" s="7"/>
      <c r="H11" s="1"/>
      <c r="I11" s="7"/>
      <c r="J11" s="1"/>
      <c r="K11" s="7"/>
      <c r="L11" s="13"/>
      <c r="M11" s="7"/>
      <c r="N11" s="20"/>
      <c r="O11" s="1"/>
      <c r="P11" s="7"/>
      <c r="Q11" s="1"/>
      <c r="R11" s="7"/>
      <c r="S11" s="1"/>
      <c r="T11" s="7"/>
      <c r="U11" s="1"/>
      <c r="V11" s="7"/>
      <c r="W11" s="1"/>
      <c r="X11" s="7"/>
      <c r="Y11" s="16"/>
      <c r="Z11" s="34"/>
      <c r="AA11" s="85"/>
      <c r="AB11" s="85"/>
      <c r="AC11" s="35"/>
      <c r="AD11" s="35"/>
      <c r="AE11" s="35"/>
      <c r="AF11" s="36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</row>
    <row r="12" spans="1:56" x14ac:dyDescent="0.25">
      <c r="A12" s="14"/>
      <c r="B12" s="1"/>
      <c r="C12" s="7"/>
      <c r="D12" s="1"/>
      <c r="E12" s="7"/>
      <c r="F12" s="1"/>
      <c r="G12" s="7"/>
      <c r="H12" s="1"/>
      <c r="I12" s="7"/>
      <c r="J12" s="1"/>
      <c r="K12" s="7"/>
      <c r="L12" s="13"/>
      <c r="M12" s="7"/>
      <c r="N12" s="20"/>
      <c r="O12" s="1"/>
      <c r="P12" s="7"/>
      <c r="Q12" s="1"/>
      <c r="R12" s="7"/>
      <c r="S12" s="1"/>
      <c r="T12" s="7"/>
      <c r="U12" s="1"/>
      <c r="V12" s="7"/>
      <c r="W12" s="1"/>
      <c r="X12" s="7"/>
      <c r="Y12" s="16"/>
      <c r="Z12" s="34"/>
      <c r="AA12" s="35"/>
      <c r="AB12" s="35"/>
      <c r="AC12" s="35"/>
      <c r="AD12" s="35"/>
      <c r="AE12" s="35"/>
      <c r="AF12" s="36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</row>
    <row r="13" spans="1:56" x14ac:dyDescent="0.25">
      <c r="A13" s="14"/>
      <c r="B13" s="1"/>
      <c r="C13" s="7"/>
      <c r="D13" s="1"/>
      <c r="E13" s="7"/>
      <c r="F13" s="1"/>
      <c r="G13" s="7"/>
      <c r="H13" s="1"/>
      <c r="I13" s="7"/>
      <c r="J13" s="1"/>
      <c r="K13" s="7"/>
      <c r="L13" s="13"/>
      <c r="M13" s="7"/>
      <c r="N13" s="20"/>
      <c r="O13" s="1"/>
      <c r="P13" s="7"/>
      <c r="Q13" s="1"/>
      <c r="R13" s="7"/>
      <c r="S13" s="1"/>
      <c r="T13" s="7"/>
      <c r="U13" s="1"/>
      <c r="V13" s="7"/>
      <c r="W13" s="1"/>
      <c r="X13" s="7"/>
      <c r="Y13" s="16"/>
      <c r="Z13" s="34"/>
      <c r="AA13" s="35"/>
      <c r="AB13" s="35"/>
      <c r="AC13" s="35"/>
      <c r="AD13" s="35"/>
      <c r="AE13" s="35"/>
      <c r="AF13" s="36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</row>
    <row r="14" spans="1:56" x14ac:dyDescent="0.25">
      <c r="A14" s="14"/>
      <c r="B14" s="1"/>
      <c r="C14" s="7"/>
      <c r="D14" s="1"/>
      <c r="E14" s="7"/>
      <c r="F14" s="1"/>
      <c r="G14" s="7"/>
      <c r="H14" s="1"/>
      <c r="I14" s="7"/>
      <c r="J14" s="1"/>
      <c r="K14" s="7"/>
      <c r="L14" s="13"/>
      <c r="M14" s="7"/>
      <c r="N14" s="20"/>
      <c r="O14" s="1"/>
      <c r="P14" s="7"/>
      <c r="Q14" s="1"/>
      <c r="R14" s="7"/>
      <c r="S14" s="1"/>
      <c r="T14" s="7"/>
      <c r="U14" s="1"/>
      <c r="V14" s="7"/>
      <c r="W14" s="1"/>
      <c r="X14" s="7"/>
      <c r="Y14" s="16"/>
      <c r="Z14" s="34"/>
      <c r="AA14" s="86" t="s">
        <v>20</v>
      </c>
      <c r="AB14" s="86"/>
      <c r="AC14" s="87">
        <f>Données!U2</f>
        <v>0</v>
      </c>
      <c r="AD14" s="87"/>
      <c r="AE14" s="35"/>
      <c r="AF14" s="36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</row>
    <row r="15" spans="1:56" x14ac:dyDescent="0.25">
      <c r="A15" s="14"/>
      <c r="B15" s="1"/>
      <c r="C15" s="7"/>
      <c r="D15" s="1"/>
      <c r="E15" s="7"/>
      <c r="F15" s="1"/>
      <c r="G15" s="7"/>
      <c r="H15" s="1"/>
      <c r="I15" s="7"/>
      <c r="J15" s="1"/>
      <c r="K15" s="7"/>
      <c r="L15" s="13"/>
      <c r="M15" s="7"/>
      <c r="N15" s="20"/>
      <c r="O15" s="1"/>
      <c r="P15" s="7"/>
      <c r="Q15" s="1"/>
      <c r="R15" s="7"/>
      <c r="S15" s="1"/>
      <c r="T15" s="7"/>
      <c r="U15" s="1"/>
      <c r="V15" s="7"/>
      <c r="W15" s="1"/>
      <c r="X15" s="7"/>
      <c r="Y15" s="16"/>
      <c r="Z15" s="34"/>
      <c r="AA15" s="86"/>
      <c r="AB15" s="86"/>
      <c r="AC15" s="87"/>
      <c r="AD15" s="87"/>
      <c r="AE15" s="35"/>
      <c r="AF15" s="36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</row>
    <row r="16" spans="1:56" x14ac:dyDescent="0.25">
      <c r="A16" s="15"/>
      <c r="B16" s="9"/>
      <c r="C16" s="11"/>
      <c r="D16" s="10"/>
      <c r="E16" s="11"/>
      <c r="F16" s="3"/>
      <c r="G16" s="11"/>
      <c r="H16" s="3"/>
      <c r="I16" s="12"/>
      <c r="J16" s="3"/>
      <c r="K16" s="11"/>
      <c r="L16" s="10"/>
      <c r="M16" s="11"/>
      <c r="N16" s="21"/>
      <c r="O16" s="3"/>
      <c r="P16" s="11"/>
      <c r="Q16" s="3"/>
      <c r="R16" s="11"/>
      <c r="S16" s="3"/>
      <c r="T16" s="11"/>
      <c r="U16" s="3"/>
      <c r="V16" s="11"/>
      <c r="W16" s="3"/>
      <c r="X16" s="11"/>
      <c r="Y16" s="16"/>
      <c r="Z16" s="34"/>
      <c r="AA16" s="86"/>
      <c r="AB16" s="86"/>
      <c r="AC16" s="87"/>
      <c r="AD16" s="87"/>
      <c r="AE16" s="35"/>
      <c r="AF16" s="36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</row>
    <row r="17" spans="1:56" x14ac:dyDescent="0.25">
      <c r="A17" s="14"/>
      <c r="B17" s="2" t="s">
        <v>21</v>
      </c>
      <c r="C17" s="17"/>
      <c r="D17" s="2" t="s">
        <v>22</v>
      </c>
      <c r="E17" s="17"/>
      <c r="F17" s="2" t="s">
        <v>23</v>
      </c>
      <c r="G17" s="2"/>
      <c r="H17" s="2" t="s">
        <v>24</v>
      </c>
      <c r="I17" s="2"/>
      <c r="J17" s="2" t="s">
        <v>25</v>
      </c>
      <c r="K17" s="17"/>
      <c r="L17" s="2" t="s">
        <v>26</v>
      </c>
      <c r="M17" s="17"/>
      <c r="N17" s="2" t="s">
        <v>27</v>
      </c>
      <c r="O17" s="2"/>
      <c r="P17" s="2" t="s">
        <v>28</v>
      </c>
      <c r="Q17" s="2"/>
      <c r="R17" s="2" t="s">
        <v>29</v>
      </c>
      <c r="S17" s="2"/>
      <c r="T17" s="2" t="s">
        <v>30</v>
      </c>
      <c r="U17" s="2"/>
      <c r="V17" s="2" t="s">
        <v>31</v>
      </c>
      <c r="W17" s="2"/>
      <c r="X17" s="17"/>
      <c r="Y17" s="16"/>
      <c r="Z17" s="34"/>
      <c r="AA17" s="35"/>
      <c r="AB17" s="35"/>
      <c r="AC17" s="35"/>
      <c r="AD17" s="35"/>
      <c r="AE17" s="35"/>
      <c r="AF17" s="36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</row>
    <row r="18" spans="1:56" x14ac:dyDescent="0.25">
      <c r="A18" s="1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5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5"/>
      <c r="Z18" s="34"/>
      <c r="AA18" s="88"/>
      <c r="AB18" s="88"/>
      <c r="AC18" s="35"/>
      <c r="AD18" s="35"/>
      <c r="AE18" s="35"/>
      <c r="AF18" s="36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</row>
    <row r="19" spans="1:56" ht="15" customHeight="1" x14ac:dyDescent="0.25">
      <c r="A19" s="14"/>
      <c r="B19" s="84" t="s">
        <v>19</v>
      </c>
      <c r="C19" s="84"/>
      <c r="D19" s="84"/>
      <c r="E19" s="78"/>
      <c r="F19" s="79"/>
      <c r="G19" s="4"/>
      <c r="H19" s="23"/>
      <c r="I19" s="24"/>
      <c r="J19" s="4"/>
      <c r="K19" s="4"/>
      <c r="L19" s="4"/>
      <c r="M19" s="5"/>
      <c r="N19" s="84" t="s">
        <v>32</v>
      </c>
      <c r="O19" s="84"/>
      <c r="P19" s="84"/>
      <c r="Q19" s="78"/>
      <c r="R19" s="79"/>
      <c r="S19" s="4"/>
      <c r="T19" s="23"/>
      <c r="U19" s="24"/>
      <c r="V19" s="4"/>
      <c r="W19" s="4"/>
      <c r="X19" s="4"/>
      <c r="Y19" s="5"/>
      <c r="Z19" s="34"/>
      <c r="AA19" s="35"/>
      <c r="AB19" s="35"/>
      <c r="AC19" s="35"/>
      <c r="AD19" s="35"/>
      <c r="AE19" s="35"/>
      <c r="AF19" s="36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</row>
    <row r="20" spans="1:56" ht="15" customHeight="1" x14ac:dyDescent="0.25">
      <c r="A20" s="14"/>
      <c r="B20" s="84"/>
      <c r="C20" s="84"/>
      <c r="D20" s="84"/>
      <c r="E20" s="80"/>
      <c r="F20" s="81"/>
      <c r="G20" s="4"/>
      <c r="H20" s="25"/>
      <c r="I20" s="26"/>
      <c r="J20" s="4"/>
      <c r="K20" s="4"/>
      <c r="L20" s="4"/>
      <c r="M20" s="5"/>
      <c r="N20" s="84"/>
      <c r="O20" s="84"/>
      <c r="P20" s="84"/>
      <c r="Q20" s="80"/>
      <c r="R20" s="81"/>
      <c r="S20" s="4"/>
      <c r="T20" s="25"/>
      <c r="U20" s="26"/>
      <c r="V20" s="4"/>
      <c r="W20" s="4"/>
      <c r="X20" s="4"/>
      <c r="Y20" s="5"/>
      <c r="Z20" s="34"/>
      <c r="AA20" s="35"/>
      <c r="AB20" s="35"/>
      <c r="AC20" s="35"/>
      <c r="AD20" s="35"/>
      <c r="AE20" s="35"/>
      <c r="AF20" s="36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</row>
    <row r="21" spans="1:56" x14ac:dyDescent="0.25">
      <c r="A21" s="14"/>
      <c r="B21" s="4"/>
      <c r="C21" s="4"/>
      <c r="D21" s="4"/>
      <c r="E21" s="80"/>
      <c r="F21" s="81"/>
      <c r="G21" s="4"/>
      <c r="H21" s="25"/>
      <c r="I21" s="26"/>
      <c r="J21" s="4"/>
      <c r="K21" s="4"/>
      <c r="L21" s="4"/>
      <c r="M21" s="5"/>
      <c r="N21" s="4"/>
      <c r="O21" s="4"/>
      <c r="P21" s="4"/>
      <c r="Q21" s="80"/>
      <c r="R21" s="81"/>
      <c r="S21" s="4"/>
      <c r="T21" s="25"/>
      <c r="U21" s="26"/>
      <c r="V21" s="4"/>
      <c r="W21" s="4"/>
      <c r="X21" s="4"/>
      <c r="Y21" s="5"/>
      <c r="Z21" s="34"/>
      <c r="AA21" s="35"/>
      <c r="AB21" s="35"/>
      <c r="AC21" s="35"/>
      <c r="AD21" s="35"/>
      <c r="AE21" s="35"/>
      <c r="AF21" s="36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</row>
    <row r="22" spans="1:56" x14ac:dyDescent="0.25">
      <c r="A22" s="14"/>
      <c r="B22" s="22"/>
      <c r="C22" s="22"/>
      <c r="D22" s="4"/>
      <c r="E22" s="80"/>
      <c r="F22" s="81"/>
      <c r="G22" s="4"/>
      <c r="H22" s="27"/>
      <c r="I22" s="28"/>
      <c r="J22" s="4"/>
      <c r="K22" s="22"/>
      <c r="L22" s="22"/>
      <c r="M22" s="5"/>
      <c r="N22" s="22"/>
      <c r="O22" s="22"/>
      <c r="P22" s="4"/>
      <c r="Q22" s="80"/>
      <c r="R22" s="81"/>
      <c r="S22" s="4"/>
      <c r="T22" s="27"/>
      <c r="U22" s="28"/>
      <c r="V22" s="4"/>
      <c r="W22" s="22"/>
      <c r="X22" s="22"/>
      <c r="Y22" s="5"/>
      <c r="Z22" s="34"/>
      <c r="AA22" s="85" t="s">
        <v>74</v>
      </c>
      <c r="AB22" s="85"/>
      <c r="AC22" s="35"/>
      <c r="AD22" s="35"/>
      <c r="AE22" s="35"/>
      <c r="AF22" s="36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</row>
    <row r="23" spans="1:56" x14ac:dyDescent="0.25">
      <c r="A23" s="14"/>
      <c r="B23" s="22"/>
      <c r="C23" s="22"/>
      <c r="D23" s="4"/>
      <c r="E23" s="80"/>
      <c r="F23" s="81"/>
      <c r="G23" s="4"/>
      <c r="H23" s="27"/>
      <c r="I23" s="28"/>
      <c r="J23" s="4"/>
      <c r="K23" s="22"/>
      <c r="L23" s="22"/>
      <c r="M23" s="5"/>
      <c r="N23" s="22"/>
      <c r="O23" s="22"/>
      <c r="P23" s="4"/>
      <c r="Q23" s="80"/>
      <c r="R23" s="81"/>
      <c r="S23" s="4"/>
      <c r="T23" s="27"/>
      <c r="U23" s="28"/>
      <c r="V23" s="4"/>
      <c r="W23" s="22"/>
      <c r="X23" s="22"/>
      <c r="Y23" s="5"/>
      <c r="Z23" s="34"/>
      <c r="AA23" s="85"/>
      <c r="AB23" s="85"/>
      <c r="AC23" s="35"/>
      <c r="AD23" s="35"/>
      <c r="AE23" s="35"/>
      <c r="AF23" s="36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</row>
    <row r="24" spans="1:56" x14ac:dyDescent="0.25">
      <c r="A24" s="14"/>
      <c r="B24" s="22"/>
      <c r="C24" s="22"/>
      <c r="D24" s="4"/>
      <c r="E24" s="80"/>
      <c r="F24" s="81"/>
      <c r="G24" s="4"/>
      <c r="H24" s="27"/>
      <c r="I24" s="28"/>
      <c r="J24" s="4"/>
      <c r="K24" s="22"/>
      <c r="L24" s="22"/>
      <c r="M24" s="5"/>
      <c r="N24" s="22"/>
      <c r="O24" s="22"/>
      <c r="P24" s="4"/>
      <c r="Q24" s="80"/>
      <c r="R24" s="81"/>
      <c r="S24" s="4"/>
      <c r="T24" s="27"/>
      <c r="U24" s="28"/>
      <c r="V24" s="4"/>
      <c r="W24" s="22"/>
      <c r="X24" s="22"/>
      <c r="Y24" s="5"/>
      <c r="Z24" s="34"/>
      <c r="AA24" s="35"/>
      <c r="AB24" s="35"/>
      <c r="AC24" s="35"/>
      <c r="AD24" s="35"/>
      <c r="AE24" s="35"/>
      <c r="AF24" s="36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</row>
    <row r="25" spans="1:56" x14ac:dyDescent="0.25">
      <c r="A25" s="14"/>
      <c r="B25" s="22"/>
      <c r="C25" s="22"/>
      <c r="D25" s="4"/>
      <c r="E25" s="80"/>
      <c r="F25" s="81"/>
      <c r="G25" s="4"/>
      <c r="H25" s="27"/>
      <c r="I25" s="28"/>
      <c r="J25" s="4"/>
      <c r="K25" s="22"/>
      <c r="L25" s="22"/>
      <c r="M25" s="5"/>
      <c r="N25" s="22"/>
      <c r="O25" s="22"/>
      <c r="P25" s="4"/>
      <c r="Q25" s="80"/>
      <c r="R25" s="81"/>
      <c r="S25" s="4"/>
      <c r="T25" s="27"/>
      <c r="U25" s="28"/>
      <c r="V25" s="4"/>
      <c r="W25" s="22"/>
      <c r="X25" s="22"/>
      <c r="Y25" s="5"/>
      <c r="Z25" s="34"/>
      <c r="AA25" s="35"/>
      <c r="AB25" s="35"/>
      <c r="AC25" s="35"/>
      <c r="AD25" s="35"/>
      <c r="AE25" s="35"/>
      <c r="AF25" s="36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</row>
    <row r="26" spans="1:56" x14ac:dyDescent="0.25">
      <c r="A26" s="14"/>
      <c r="B26" s="22"/>
      <c r="C26" s="22"/>
      <c r="D26" s="4"/>
      <c r="E26" s="80"/>
      <c r="F26" s="81"/>
      <c r="G26" s="4"/>
      <c r="H26" s="27"/>
      <c r="I26" s="28"/>
      <c r="J26" s="4"/>
      <c r="K26" s="22"/>
      <c r="L26" s="22"/>
      <c r="M26" s="5"/>
      <c r="N26" s="22"/>
      <c r="O26" s="22"/>
      <c r="P26" s="4"/>
      <c r="Q26" s="80"/>
      <c r="R26" s="81"/>
      <c r="S26" s="4"/>
      <c r="T26" s="27"/>
      <c r="U26" s="28"/>
      <c r="V26" s="4"/>
      <c r="W26" s="22"/>
      <c r="X26" s="22"/>
      <c r="Y26" s="5"/>
      <c r="Z26" s="34"/>
      <c r="AA26" s="86" t="s">
        <v>20</v>
      </c>
      <c r="AB26" s="86"/>
      <c r="AC26" s="87">
        <f>Données!U3</f>
        <v>0</v>
      </c>
      <c r="AD26" s="87"/>
      <c r="AE26" s="35"/>
      <c r="AF26" s="36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</row>
    <row r="27" spans="1:56" x14ac:dyDescent="0.25">
      <c r="A27" s="14"/>
      <c r="B27" s="22"/>
      <c r="C27" s="22"/>
      <c r="D27" s="4"/>
      <c r="E27" s="80"/>
      <c r="F27" s="81"/>
      <c r="G27" s="4"/>
      <c r="H27" s="27"/>
      <c r="I27" s="28"/>
      <c r="J27" s="4"/>
      <c r="K27" s="22"/>
      <c r="L27" s="22"/>
      <c r="M27" s="5"/>
      <c r="N27" s="22"/>
      <c r="O27" s="22"/>
      <c r="P27" s="4"/>
      <c r="Q27" s="80"/>
      <c r="R27" s="81"/>
      <c r="S27" s="4"/>
      <c r="T27" s="27"/>
      <c r="U27" s="28"/>
      <c r="V27" s="4"/>
      <c r="W27" s="22"/>
      <c r="X27" s="22"/>
      <c r="Y27" s="5"/>
      <c r="Z27" s="34"/>
      <c r="AA27" s="86"/>
      <c r="AB27" s="86"/>
      <c r="AC27" s="87"/>
      <c r="AD27" s="87"/>
      <c r="AE27" s="35"/>
      <c r="AF27" s="36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</row>
    <row r="28" spans="1:56" x14ac:dyDescent="0.25">
      <c r="A28" s="14"/>
      <c r="B28" s="22"/>
      <c r="C28" s="22"/>
      <c r="D28" s="4"/>
      <c r="E28" s="82"/>
      <c r="F28" s="83"/>
      <c r="G28" s="4"/>
      <c r="H28" s="29"/>
      <c r="I28" s="30"/>
      <c r="J28" s="4"/>
      <c r="K28" s="22"/>
      <c r="L28" s="22"/>
      <c r="M28" s="5"/>
      <c r="N28" s="22"/>
      <c r="O28" s="22"/>
      <c r="P28" s="4"/>
      <c r="Q28" s="82"/>
      <c r="R28" s="83"/>
      <c r="S28" s="4"/>
      <c r="T28" s="29"/>
      <c r="U28" s="30"/>
      <c r="V28" s="4"/>
      <c r="W28" s="22"/>
      <c r="X28" s="22"/>
      <c r="Y28" s="5"/>
      <c r="Z28" s="34"/>
      <c r="AA28" s="86"/>
      <c r="AB28" s="86"/>
      <c r="AC28" s="87"/>
      <c r="AD28" s="87"/>
      <c r="AE28" s="35"/>
      <c r="AF28" s="3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</row>
    <row r="29" spans="1:56" x14ac:dyDescent="0.25">
      <c r="A29" s="14"/>
      <c r="B29" s="22"/>
      <c r="C29" s="22"/>
      <c r="D29" s="4"/>
      <c r="E29" s="22"/>
      <c r="F29" s="22"/>
      <c r="G29" s="4"/>
      <c r="H29" s="22"/>
      <c r="I29" s="22"/>
      <c r="J29" s="4"/>
      <c r="K29" s="22"/>
      <c r="L29" s="22"/>
      <c r="M29" s="5"/>
      <c r="N29" s="22"/>
      <c r="O29" s="22"/>
      <c r="P29" s="4"/>
      <c r="Q29" s="22"/>
      <c r="R29" s="22"/>
      <c r="S29" s="4"/>
      <c r="T29" s="22"/>
      <c r="U29" s="22"/>
      <c r="V29" s="4"/>
      <c r="W29" s="22"/>
      <c r="X29" s="22"/>
      <c r="Y29" s="5"/>
      <c r="Z29" s="34"/>
      <c r="AA29" s="88"/>
      <c r="AB29" s="88"/>
      <c r="AC29" s="35"/>
      <c r="AD29" s="35"/>
      <c r="AE29" s="35"/>
      <c r="AF29" s="36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</row>
    <row r="30" spans="1:56" x14ac:dyDescent="0.25">
      <c r="A30" s="14"/>
      <c r="B30" s="78"/>
      <c r="C30" s="79"/>
      <c r="D30" s="4"/>
      <c r="E30" s="78"/>
      <c r="F30" s="79"/>
      <c r="G30" s="4"/>
      <c r="H30" s="78"/>
      <c r="I30" s="79"/>
      <c r="J30" s="4"/>
      <c r="K30" s="78"/>
      <c r="L30" s="79"/>
      <c r="M30" s="5"/>
      <c r="N30" s="78"/>
      <c r="O30" s="79"/>
      <c r="P30" s="4"/>
      <c r="Q30" s="78"/>
      <c r="R30" s="79"/>
      <c r="S30" s="4"/>
      <c r="T30" s="78"/>
      <c r="U30" s="79"/>
      <c r="V30" s="4"/>
      <c r="W30" s="78"/>
      <c r="X30" s="79"/>
      <c r="Y30" s="5"/>
      <c r="Z30" s="34"/>
      <c r="AA30" s="35"/>
      <c r="AB30" s="35"/>
      <c r="AC30" s="35"/>
      <c r="AD30" s="35"/>
      <c r="AE30" s="35"/>
      <c r="AF30" s="36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</row>
    <row r="31" spans="1:56" x14ac:dyDescent="0.25">
      <c r="A31" s="14"/>
      <c r="B31" s="80"/>
      <c r="C31" s="81"/>
      <c r="D31" s="4"/>
      <c r="E31" s="80"/>
      <c r="F31" s="81"/>
      <c r="G31" s="4"/>
      <c r="H31" s="80"/>
      <c r="I31" s="81"/>
      <c r="J31" s="4"/>
      <c r="K31" s="80"/>
      <c r="L31" s="81"/>
      <c r="M31" s="5"/>
      <c r="N31" s="80"/>
      <c r="O31" s="81"/>
      <c r="P31" s="4"/>
      <c r="Q31" s="80"/>
      <c r="R31" s="81"/>
      <c r="S31" s="4"/>
      <c r="T31" s="80"/>
      <c r="U31" s="81"/>
      <c r="V31" s="4"/>
      <c r="W31" s="80"/>
      <c r="X31" s="81"/>
      <c r="Y31" s="5"/>
      <c r="Z31" s="34"/>
      <c r="AA31" s="35"/>
      <c r="AB31" s="35"/>
      <c r="AC31" s="35"/>
      <c r="AD31" s="35"/>
      <c r="AE31" s="35"/>
      <c r="AF31" s="36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</row>
    <row r="32" spans="1:56" x14ac:dyDescent="0.25">
      <c r="A32" s="14"/>
      <c r="B32" s="80"/>
      <c r="C32" s="81"/>
      <c r="D32" s="4"/>
      <c r="E32" s="80"/>
      <c r="F32" s="81"/>
      <c r="G32" s="4"/>
      <c r="H32" s="80"/>
      <c r="I32" s="81"/>
      <c r="J32" s="4"/>
      <c r="K32" s="80"/>
      <c r="L32" s="81"/>
      <c r="M32" s="5"/>
      <c r="N32" s="80"/>
      <c r="O32" s="81"/>
      <c r="P32" s="4"/>
      <c r="Q32" s="80"/>
      <c r="R32" s="81"/>
      <c r="S32" s="4"/>
      <c r="T32" s="80"/>
      <c r="U32" s="81"/>
      <c r="V32" s="4"/>
      <c r="W32" s="80"/>
      <c r="X32" s="81"/>
      <c r="Y32" s="5"/>
      <c r="Z32" s="34"/>
      <c r="AA32" s="35"/>
      <c r="AB32" s="35"/>
      <c r="AC32" s="35"/>
      <c r="AD32" s="35"/>
      <c r="AE32" s="35"/>
      <c r="AF32" s="36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</row>
    <row r="33" spans="1:56" x14ac:dyDescent="0.25">
      <c r="A33" s="14"/>
      <c r="B33" s="80"/>
      <c r="C33" s="81"/>
      <c r="D33" s="4"/>
      <c r="E33" s="80"/>
      <c r="F33" s="81"/>
      <c r="G33" s="4"/>
      <c r="H33" s="80"/>
      <c r="I33" s="81"/>
      <c r="J33" s="4"/>
      <c r="K33" s="80"/>
      <c r="L33" s="81"/>
      <c r="M33" s="5"/>
      <c r="N33" s="80"/>
      <c r="O33" s="81"/>
      <c r="P33" s="4"/>
      <c r="Q33" s="80"/>
      <c r="R33" s="81"/>
      <c r="S33" s="4"/>
      <c r="T33" s="80"/>
      <c r="U33" s="81"/>
      <c r="V33" s="4"/>
      <c r="W33" s="80"/>
      <c r="X33" s="81"/>
      <c r="Y33" s="5"/>
      <c r="Z33" s="34"/>
      <c r="AA33" s="35"/>
      <c r="AB33" s="35"/>
      <c r="AC33" s="35"/>
      <c r="AD33" s="35"/>
      <c r="AE33" s="35"/>
      <c r="AF33" s="36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</row>
    <row r="34" spans="1:56" x14ac:dyDescent="0.25">
      <c r="A34" s="14"/>
      <c r="B34" s="80"/>
      <c r="C34" s="81"/>
      <c r="D34" s="4"/>
      <c r="E34" s="80"/>
      <c r="F34" s="81"/>
      <c r="G34" s="4"/>
      <c r="H34" s="80"/>
      <c r="I34" s="81"/>
      <c r="J34" s="4"/>
      <c r="K34" s="80"/>
      <c r="L34" s="81"/>
      <c r="M34" s="5"/>
      <c r="N34" s="80"/>
      <c r="O34" s="81"/>
      <c r="P34" s="4"/>
      <c r="Q34" s="80"/>
      <c r="R34" s="81"/>
      <c r="S34" s="4"/>
      <c r="T34" s="80"/>
      <c r="U34" s="81"/>
      <c r="V34" s="4"/>
      <c r="W34" s="80"/>
      <c r="X34" s="81"/>
      <c r="Y34" s="5"/>
      <c r="Z34" s="34"/>
      <c r="AA34" s="35"/>
      <c r="AB34" s="35"/>
      <c r="AC34" s="35"/>
      <c r="AD34" s="35"/>
      <c r="AE34" s="35"/>
      <c r="AF34" s="36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</row>
    <row r="35" spans="1:56" x14ac:dyDescent="0.25">
      <c r="A35" s="14"/>
      <c r="B35" s="80"/>
      <c r="C35" s="81"/>
      <c r="D35" s="4"/>
      <c r="E35" s="80"/>
      <c r="F35" s="81"/>
      <c r="G35" s="4"/>
      <c r="H35" s="80"/>
      <c r="I35" s="81"/>
      <c r="J35" s="4"/>
      <c r="K35" s="80"/>
      <c r="L35" s="81"/>
      <c r="M35" s="5"/>
      <c r="N35" s="80"/>
      <c r="O35" s="81"/>
      <c r="P35" s="4"/>
      <c r="Q35" s="80"/>
      <c r="R35" s="81"/>
      <c r="S35" s="4"/>
      <c r="T35" s="80"/>
      <c r="U35" s="81"/>
      <c r="V35" s="4"/>
      <c r="W35" s="80"/>
      <c r="X35" s="81"/>
      <c r="Y35" s="5"/>
      <c r="Z35" s="34"/>
      <c r="AA35" s="35"/>
      <c r="AB35" s="35"/>
      <c r="AC35" s="35"/>
      <c r="AD35" s="35"/>
      <c r="AE35" s="35"/>
      <c r="AF35" s="36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</row>
    <row r="36" spans="1:56" x14ac:dyDescent="0.25">
      <c r="A36" s="14"/>
      <c r="B36" s="80"/>
      <c r="C36" s="81"/>
      <c r="D36" s="4"/>
      <c r="E36" s="80"/>
      <c r="F36" s="81"/>
      <c r="G36" s="4"/>
      <c r="H36" s="80"/>
      <c r="I36" s="81"/>
      <c r="J36" s="4"/>
      <c r="K36" s="80"/>
      <c r="L36" s="81"/>
      <c r="M36" s="5"/>
      <c r="N36" s="80"/>
      <c r="O36" s="81"/>
      <c r="P36" s="4"/>
      <c r="Q36" s="80"/>
      <c r="R36" s="81"/>
      <c r="S36" s="4"/>
      <c r="T36" s="80"/>
      <c r="U36" s="81"/>
      <c r="V36" s="4"/>
      <c r="W36" s="80"/>
      <c r="X36" s="81"/>
      <c r="Y36" s="5"/>
      <c r="Z36" s="34"/>
      <c r="AA36" s="35"/>
      <c r="AB36" s="35"/>
      <c r="AC36" s="35"/>
      <c r="AD36" s="35"/>
      <c r="AE36" s="35"/>
      <c r="AF36" s="36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</row>
    <row r="37" spans="1:56" x14ac:dyDescent="0.25">
      <c r="A37" s="14"/>
      <c r="B37" s="80"/>
      <c r="C37" s="81"/>
      <c r="D37" s="4"/>
      <c r="E37" s="80"/>
      <c r="F37" s="81"/>
      <c r="G37" s="4"/>
      <c r="H37" s="80"/>
      <c r="I37" s="81"/>
      <c r="J37" s="4"/>
      <c r="K37" s="80"/>
      <c r="L37" s="81"/>
      <c r="M37" s="5"/>
      <c r="N37" s="80"/>
      <c r="O37" s="81"/>
      <c r="P37" s="4"/>
      <c r="Q37" s="80"/>
      <c r="R37" s="81"/>
      <c r="S37" s="4"/>
      <c r="T37" s="80"/>
      <c r="U37" s="81"/>
      <c r="V37" s="4"/>
      <c r="W37" s="80"/>
      <c r="X37" s="81"/>
      <c r="Y37" s="5"/>
      <c r="Z37" s="34"/>
      <c r="AA37" s="35"/>
      <c r="AB37" s="35"/>
      <c r="AC37" s="35"/>
      <c r="AD37" s="35"/>
      <c r="AE37" s="35"/>
      <c r="AF37" s="36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</row>
    <row r="38" spans="1:56" x14ac:dyDescent="0.25">
      <c r="A38" s="14"/>
      <c r="B38" s="80"/>
      <c r="C38" s="81"/>
      <c r="D38" s="4"/>
      <c r="E38" s="80"/>
      <c r="F38" s="81"/>
      <c r="G38" s="4"/>
      <c r="H38" s="80"/>
      <c r="I38" s="81"/>
      <c r="J38" s="4"/>
      <c r="K38" s="80"/>
      <c r="L38" s="81"/>
      <c r="M38" s="5"/>
      <c r="N38" s="80"/>
      <c r="O38" s="81"/>
      <c r="P38" s="4"/>
      <c r="Q38" s="80"/>
      <c r="R38" s="81"/>
      <c r="S38" s="4"/>
      <c r="T38" s="80"/>
      <c r="U38" s="81"/>
      <c r="V38" s="4"/>
      <c r="W38" s="80"/>
      <c r="X38" s="81"/>
      <c r="Y38" s="5"/>
      <c r="Z38" s="34"/>
      <c r="AA38" s="35"/>
      <c r="AB38" s="35"/>
      <c r="AC38" s="35"/>
      <c r="AD38" s="35"/>
      <c r="AE38" s="35"/>
      <c r="AF38" s="36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</row>
    <row r="39" spans="1:56" x14ac:dyDescent="0.25">
      <c r="A39" s="14"/>
      <c r="B39" s="82"/>
      <c r="C39" s="83"/>
      <c r="D39" s="4"/>
      <c r="E39" s="82"/>
      <c r="F39" s="83"/>
      <c r="G39" s="4"/>
      <c r="H39" s="82"/>
      <c r="I39" s="83"/>
      <c r="J39" s="4"/>
      <c r="K39" s="82"/>
      <c r="L39" s="83"/>
      <c r="M39" s="5"/>
      <c r="N39" s="82"/>
      <c r="O39" s="83"/>
      <c r="P39" s="4"/>
      <c r="Q39" s="82"/>
      <c r="R39" s="83"/>
      <c r="S39" s="4"/>
      <c r="T39" s="82"/>
      <c r="U39" s="83"/>
      <c r="V39" s="4"/>
      <c r="W39" s="82"/>
      <c r="X39" s="83"/>
      <c r="Y39" s="5"/>
      <c r="Z39" s="34"/>
      <c r="AA39" s="35"/>
      <c r="AB39" s="35"/>
      <c r="AC39" s="35"/>
      <c r="AD39" s="35"/>
      <c r="AE39" s="35"/>
      <c r="AF39" s="36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</row>
    <row r="40" spans="1:56" x14ac:dyDescent="0.25">
      <c r="A40" s="14"/>
      <c r="B40" s="22"/>
      <c r="C40" s="22"/>
      <c r="D40" s="4"/>
      <c r="E40" s="22"/>
      <c r="F40" s="22"/>
      <c r="G40" s="4"/>
      <c r="H40" s="22"/>
      <c r="I40" s="22"/>
      <c r="J40" s="4"/>
      <c r="K40" s="22"/>
      <c r="L40" s="22"/>
      <c r="M40" s="5"/>
      <c r="N40" s="22"/>
      <c r="O40" s="22"/>
      <c r="P40" s="4"/>
      <c r="Q40" s="22"/>
      <c r="R40" s="22"/>
      <c r="S40" s="4"/>
      <c r="T40" s="22"/>
      <c r="U40" s="22"/>
      <c r="V40" s="4"/>
      <c r="W40" s="22"/>
      <c r="X40" s="22"/>
      <c r="Y40" s="5"/>
      <c r="Z40" s="34"/>
      <c r="AA40" s="35"/>
      <c r="AB40" s="35"/>
      <c r="AC40" s="35"/>
      <c r="AD40" s="35"/>
      <c r="AE40" s="35"/>
      <c r="AF40" s="36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</row>
    <row r="41" spans="1:56" x14ac:dyDescent="0.25">
      <c r="A41" s="14"/>
      <c r="B41" s="78"/>
      <c r="C41" s="79"/>
      <c r="D41" s="4"/>
      <c r="E41" s="78"/>
      <c r="F41" s="79"/>
      <c r="G41" s="4"/>
      <c r="H41" s="78"/>
      <c r="I41" s="79"/>
      <c r="J41" s="4"/>
      <c r="K41" s="78"/>
      <c r="L41" s="79"/>
      <c r="M41" s="5"/>
      <c r="N41" s="78"/>
      <c r="O41" s="79"/>
      <c r="P41" s="4"/>
      <c r="Q41" s="78"/>
      <c r="R41" s="79"/>
      <c r="S41" s="4"/>
      <c r="T41" s="78"/>
      <c r="U41" s="79"/>
      <c r="V41" s="4"/>
      <c r="W41" s="78"/>
      <c r="X41" s="79"/>
      <c r="Y41" s="5"/>
      <c r="Z41" s="34"/>
      <c r="AA41" s="35"/>
      <c r="AB41" s="35"/>
      <c r="AC41" s="35"/>
      <c r="AD41" s="35"/>
      <c r="AE41" s="35"/>
      <c r="AF41" s="36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</row>
    <row r="42" spans="1:56" x14ac:dyDescent="0.25">
      <c r="A42" s="14"/>
      <c r="B42" s="80"/>
      <c r="C42" s="81"/>
      <c r="D42" s="4"/>
      <c r="E42" s="80"/>
      <c r="F42" s="81"/>
      <c r="G42" s="4"/>
      <c r="H42" s="80"/>
      <c r="I42" s="81"/>
      <c r="J42" s="4"/>
      <c r="K42" s="80"/>
      <c r="L42" s="81"/>
      <c r="M42" s="5"/>
      <c r="N42" s="80"/>
      <c r="O42" s="81"/>
      <c r="P42" s="4"/>
      <c r="Q42" s="80"/>
      <c r="R42" s="81"/>
      <c r="S42" s="4"/>
      <c r="T42" s="80"/>
      <c r="U42" s="81"/>
      <c r="V42" s="4"/>
      <c r="W42" s="80"/>
      <c r="X42" s="81"/>
      <c r="Y42" s="5"/>
      <c r="Z42" s="34"/>
      <c r="AA42" s="35"/>
      <c r="AB42" s="35"/>
      <c r="AC42" s="35"/>
      <c r="AD42" s="35"/>
      <c r="AE42" s="35"/>
      <c r="AF42" s="36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</row>
    <row r="43" spans="1:56" x14ac:dyDescent="0.25">
      <c r="A43" s="14"/>
      <c r="B43" s="80"/>
      <c r="C43" s="81"/>
      <c r="D43" s="4"/>
      <c r="E43" s="80"/>
      <c r="F43" s="81"/>
      <c r="G43" s="4"/>
      <c r="H43" s="80"/>
      <c r="I43" s="81"/>
      <c r="J43" s="4"/>
      <c r="K43" s="80"/>
      <c r="L43" s="81"/>
      <c r="M43" s="5"/>
      <c r="N43" s="80"/>
      <c r="O43" s="81"/>
      <c r="P43" s="4"/>
      <c r="Q43" s="80"/>
      <c r="R43" s="81"/>
      <c r="S43" s="4"/>
      <c r="T43" s="80"/>
      <c r="U43" s="81"/>
      <c r="V43" s="4"/>
      <c r="W43" s="80"/>
      <c r="X43" s="81"/>
      <c r="Y43" s="5"/>
      <c r="Z43" s="34"/>
      <c r="AA43" s="35"/>
      <c r="AB43" s="35"/>
      <c r="AC43" s="35"/>
      <c r="AD43" s="35"/>
      <c r="AE43" s="35"/>
      <c r="AF43" s="36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</row>
    <row r="44" spans="1:56" x14ac:dyDescent="0.25">
      <c r="A44" s="14"/>
      <c r="B44" s="80"/>
      <c r="C44" s="81"/>
      <c r="D44" s="4"/>
      <c r="E44" s="80"/>
      <c r="F44" s="81"/>
      <c r="G44" s="4"/>
      <c r="H44" s="80"/>
      <c r="I44" s="81"/>
      <c r="J44" s="4"/>
      <c r="K44" s="80"/>
      <c r="L44" s="81"/>
      <c r="M44" s="5"/>
      <c r="N44" s="80"/>
      <c r="O44" s="81"/>
      <c r="P44" s="4"/>
      <c r="Q44" s="80"/>
      <c r="R44" s="81"/>
      <c r="S44" s="4"/>
      <c r="T44" s="80"/>
      <c r="U44" s="81"/>
      <c r="V44" s="4"/>
      <c r="W44" s="80"/>
      <c r="X44" s="81"/>
      <c r="Y44" s="5"/>
      <c r="Z44" s="34"/>
      <c r="AA44" s="35"/>
      <c r="AB44" s="35"/>
      <c r="AC44" s="35"/>
      <c r="AD44" s="35"/>
      <c r="AE44" s="35"/>
      <c r="AF44" s="36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</row>
    <row r="45" spans="1:56" x14ac:dyDescent="0.25">
      <c r="A45" s="14"/>
      <c r="B45" s="80"/>
      <c r="C45" s="81"/>
      <c r="D45" s="4"/>
      <c r="E45" s="80"/>
      <c r="F45" s="81"/>
      <c r="G45" s="4"/>
      <c r="H45" s="80"/>
      <c r="I45" s="81"/>
      <c r="J45" s="4"/>
      <c r="K45" s="80"/>
      <c r="L45" s="81"/>
      <c r="M45" s="5"/>
      <c r="N45" s="80"/>
      <c r="O45" s="81"/>
      <c r="P45" s="4"/>
      <c r="Q45" s="80"/>
      <c r="R45" s="81"/>
      <c r="S45" s="4"/>
      <c r="T45" s="80"/>
      <c r="U45" s="81"/>
      <c r="V45" s="4"/>
      <c r="W45" s="80"/>
      <c r="X45" s="81"/>
      <c r="Y45" s="5"/>
      <c r="Z45" s="34"/>
      <c r="AA45" s="35"/>
      <c r="AB45" s="35"/>
      <c r="AC45" s="35"/>
      <c r="AD45" s="35"/>
      <c r="AE45" s="35"/>
      <c r="AF45" s="36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</row>
    <row r="46" spans="1:56" x14ac:dyDescent="0.25">
      <c r="A46" s="14"/>
      <c r="B46" s="80"/>
      <c r="C46" s="81"/>
      <c r="D46" s="4"/>
      <c r="E46" s="80"/>
      <c r="F46" s="81"/>
      <c r="G46" s="4"/>
      <c r="H46" s="80"/>
      <c r="I46" s="81"/>
      <c r="J46" s="4"/>
      <c r="K46" s="80"/>
      <c r="L46" s="81"/>
      <c r="M46" s="5"/>
      <c r="N46" s="80"/>
      <c r="O46" s="81"/>
      <c r="P46" s="4"/>
      <c r="Q46" s="80"/>
      <c r="R46" s="81"/>
      <c r="S46" s="4"/>
      <c r="T46" s="80"/>
      <c r="U46" s="81"/>
      <c r="V46" s="4"/>
      <c r="W46" s="80"/>
      <c r="X46" s="81"/>
      <c r="Y46" s="5"/>
      <c r="Z46" s="34"/>
      <c r="AA46" s="35"/>
      <c r="AB46" s="35"/>
      <c r="AC46" s="35"/>
      <c r="AD46" s="35"/>
      <c r="AE46" s="35"/>
      <c r="AF46" s="36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</row>
    <row r="47" spans="1:56" x14ac:dyDescent="0.25">
      <c r="A47" s="14"/>
      <c r="B47" s="80"/>
      <c r="C47" s="81"/>
      <c r="D47" s="4"/>
      <c r="E47" s="80"/>
      <c r="F47" s="81"/>
      <c r="G47" s="4"/>
      <c r="H47" s="80"/>
      <c r="I47" s="81"/>
      <c r="J47" s="4"/>
      <c r="K47" s="80"/>
      <c r="L47" s="81"/>
      <c r="M47" s="5"/>
      <c r="N47" s="80"/>
      <c r="O47" s="81"/>
      <c r="P47" s="4"/>
      <c r="Q47" s="80"/>
      <c r="R47" s="81"/>
      <c r="S47" s="4"/>
      <c r="T47" s="80"/>
      <c r="U47" s="81"/>
      <c r="V47" s="4"/>
      <c r="W47" s="80"/>
      <c r="X47" s="81"/>
      <c r="Y47" s="5"/>
      <c r="Z47" s="34"/>
      <c r="AA47" s="35"/>
      <c r="AB47" s="35"/>
      <c r="AC47" s="35"/>
      <c r="AD47" s="35"/>
      <c r="AE47" s="35"/>
      <c r="AF47" s="36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</row>
    <row r="48" spans="1:56" x14ac:dyDescent="0.25">
      <c r="A48" s="14"/>
      <c r="B48" s="80"/>
      <c r="C48" s="81"/>
      <c r="D48" s="4"/>
      <c r="E48" s="80"/>
      <c r="F48" s="81"/>
      <c r="G48" s="4"/>
      <c r="H48" s="80"/>
      <c r="I48" s="81"/>
      <c r="J48" s="4"/>
      <c r="K48" s="80"/>
      <c r="L48" s="81"/>
      <c r="M48" s="5"/>
      <c r="N48" s="80"/>
      <c r="O48" s="81"/>
      <c r="P48" s="4"/>
      <c r="Q48" s="80"/>
      <c r="R48" s="81"/>
      <c r="S48" s="4"/>
      <c r="T48" s="80"/>
      <c r="U48" s="81"/>
      <c r="V48" s="4"/>
      <c r="W48" s="80"/>
      <c r="X48" s="81"/>
      <c r="Y48" s="5"/>
      <c r="Z48" s="34"/>
      <c r="AA48" s="35"/>
      <c r="AB48" s="35"/>
      <c r="AC48" s="35"/>
      <c r="AD48" s="35"/>
      <c r="AE48" s="35"/>
      <c r="AF48" s="36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</row>
    <row r="49" spans="1:56" x14ac:dyDescent="0.25">
      <c r="A49" s="14"/>
      <c r="B49" s="80"/>
      <c r="C49" s="81"/>
      <c r="D49" s="4"/>
      <c r="E49" s="80"/>
      <c r="F49" s="81"/>
      <c r="G49" s="4"/>
      <c r="H49" s="80"/>
      <c r="I49" s="81"/>
      <c r="J49" s="4"/>
      <c r="K49" s="80"/>
      <c r="L49" s="81"/>
      <c r="M49" s="5"/>
      <c r="N49" s="80"/>
      <c r="O49" s="81"/>
      <c r="P49" s="4"/>
      <c r="Q49" s="80"/>
      <c r="R49" s="81"/>
      <c r="S49" s="4"/>
      <c r="T49" s="80"/>
      <c r="U49" s="81"/>
      <c r="V49" s="4"/>
      <c r="W49" s="80"/>
      <c r="X49" s="81"/>
      <c r="Y49" s="5"/>
      <c r="Z49" s="34"/>
      <c r="AA49" s="35"/>
      <c r="AB49" s="35"/>
      <c r="AC49" s="35"/>
      <c r="AD49" s="35"/>
      <c r="AE49" s="35"/>
      <c r="AF49" s="36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</row>
    <row r="50" spans="1:56" x14ac:dyDescent="0.25">
      <c r="A50" s="14"/>
      <c r="B50" s="82"/>
      <c r="C50" s="83"/>
      <c r="D50" s="4"/>
      <c r="E50" s="82"/>
      <c r="F50" s="83"/>
      <c r="G50" s="4"/>
      <c r="H50" s="82"/>
      <c r="I50" s="83"/>
      <c r="J50" s="4"/>
      <c r="K50" s="82"/>
      <c r="L50" s="83"/>
      <c r="M50" s="5"/>
      <c r="N50" s="82"/>
      <c r="O50" s="83"/>
      <c r="P50" s="4"/>
      <c r="Q50" s="82"/>
      <c r="R50" s="83"/>
      <c r="S50" s="4"/>
      <c r="T50" s="82"/>
      <c r="U50" s="83"/>
      <c r="V50" s="4"/>
      <c r="W50" s="82"/>
      <c r="X50" s="83"/>
      <c r="Y50" s="5"/>
      <c r="Z50" s="34"/>
      <c r="AA50" s="35"/>
      <c r="AB50" s="35"/>
      <c r="AC50" s="35"/>
      <c r="AD50" s="35"/>
      <c r="AE50" s="35"/>
      <c r="AF50" s="36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</row>
    <row r="51" spans="1:56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34"/>
      <c r="AA51" s="35"/>
      <c r="AB51" s="35"/>
      <c r="AC51" s="35"/>
      <c r="AD51" s="35"/>
      <c r="AE51" s="35"/>
      <c r="AF51" s="36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</row>
    <row r="52" spans="1:56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37"/>
      <c r="AA52" s="38"/>
      <c r="AB52" s="38"/>
      <c r="AC52" s="38"/>
      <c r="AD52" s="38"/>
      <c r="AE52" s="38"/>
      <c r="AF52" s="39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</row>
    <row r="53" spans="1:5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</row>
    <row r="54" spans="1:5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</row>
    <row r="55" spans="1:5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</row>
    <row r="56" spans="1:5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</row>
    <row r="57" spans="1:5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</row>
    <row r="58" spans="1:5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</row>
    <row r="59" spans="1:5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</row>
    <row r="60" spans="1:5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</row>
    <row r="61" spans="1:56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</row>
    <row r="62" spans="1:56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</row>
    <row r="63" spans="1:56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</row>
    <row r="64" spans="1:56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</row>
    <row r="65" spans="1:56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</row>
    <row r="66" spans="1:56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</row>
    <row r="67" spans="1:56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</row>
    <row r="68" spans="1:56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</row>
    <row r="69" spans="1:56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</row>
    <row r="70" spans="1:56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</row>
    <row r="71" spans="1:56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</row>
    <row r="72" spans="1:56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</row>
    <row r="73" spans="1:56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</row>
    <row r="74" spans="1:56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</row>
    <row r="75" spans="1:56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</row>
    <row r="76" spans="1:56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</row>
    <row r="77" spans="1:56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</row>
    <row r="78" spans="1:56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</row>
    <row r="79" spans="1:56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</row>
    <row r="80" spans="1:56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</row>
    <row r="81" spans="1:56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</row>
    <row r="82" spans="1:56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</row>
    <row r="83" spans="1:56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</row>
    <row r="84" spans="1:56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</row>
    <row r="85" spans="1:56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</row>
    <row r="86" spans="1:56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</row>
    <row r="87" spans="1:56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</row>
    <row r="88" spans="1:56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</row>
    <row r="89" spans="1:56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</row>
    <row r="90" spans="1:56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</row>
    <row r="91" spans="1:56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</row>
    <row r="92" spans="1:56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</row>
    <row r="93" spans="1:56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</row>
    <row r="94" spans="1:56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</row>
    <row r="95" spans="1:56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</row>
    <row r="96" spans="1:56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</sheetData>
  <sheetProtection selectLockedCells="1" selectUnlockedCells="1"/>
  <mergeCells count="29">
    <mergeCell ref="AC26:AD28"/>
    <mergeCell ref="Q19:R28"/>
    <mergeCell ref="AA29:AB29"/>
    <mergeCell ref="AA4:AE6"/>
    <mergeCell ref="AA10:AB11"/>
    <mergeCell ref="AA14:AB16"/>
    <mergeCell ref="AC14:AD16"/>
    <mergeCell ref="AA18:AB18"/>
    <mergeCell ref="E19:F28"/>
    <mergeCell ref="B19:D20"/>
    <mergeCell ref="N19:P20"/>
    <mergeCell ref="AA22:AB23"/>
    <mergeCell ref="AA26:AB28"/>
    <mergeCell ref="K30:L39"/>
    <mergeCell ref="K41:L50"/>
    <mergeCell ref="N30:O39"/>
    <mergeCell ref="Q30:R39"/>
    <mergeCell ref="T30:U39"/>
    <mergeCell ref="B30:C39"/>
    <mergeCell ref="B41:C50"/>
    <mergeCell ref="E30:F39"/>
    <mergeCell ref="E41:F50"/>
    <mergeCell ref="H30:I39"/>
    <mergeCell ref="H41:I50"/>
    <mergeCell ref="W30:X39"/>
    <mergeCell ref="N41:O50"/>
    <mergeCell ref="Q41:R50"/>
    <mergeCell ref="T41:U50"/>
    <mergeCell ref="W41:X5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Bouton_Lancer">
                <anchor moveWithCells="1" sizeWithCells="1">
                  <from>
                    <xdr:col>25</xdr:col>
                    <xdr:colOff>657225</xdr:colOff>
                    <xdr:row>30</xdr:row>
                    <xdr:rowOff>47625</xdr:rowOff>
                  </from>
                  <to>
                    <xdr:col>31</xdr:col>
                    <xdr:colOff>0</xdr:colOff>
                    <xdr:row>39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B001F-2E49-4CDA-8D2E-119532B1D363}">
  <sheetPr codeName="Feuil1"/>
  <dimension ref="A1:AA113"/>
  <sheetViews>
    <sheetView topLeftCell="O1" zoomScale="85" zoomScaleNormal="85" workbookViewId="0">
      <selection activeCell="V6" sqref="V6"/>
    </sheetView>
  </sheetViews>
  <sheetFormatPr baseColWidth="10" defaultRowHeight="15" x14ac:dyDescent="0.25"/>
  <cols>
    <col min="2" max="2" width="24.85546875" customWidth="1"/>
    <col min="13" max="13" width="39.140625" customWidth="1"/>
    <col min="14" max="14" width="24.5703125" customWidth="1"/>
    <col min="15" max="15" width="32.7109375" customWidth="1"/>
    <col min="16" max="16" width="25.7109375" customWidth="1"/>
    <col min="17" max="17" width="24.7109375" customWidth="1"/>
    <col min="20" max="20" width="31.140625" customWidth="1"/>
    <col min="21" max="21" width="12.42578125" customWidth="1"/>
    <col min="22" max="23" width="12.5703125" customWidth="1"/>
    <col min="24" max="24" width="13.5703125" customWidth="1"/>
  </cols>
  <sheetData>
    <row r="1" spans="1:27" x14ac:dyDescent="0.25">
      <c r="A1" s="60" t="s">
        <v>45</v>
      </c>
      <c r="B1" s="68"/>
      <c r="C1" s="59">
        <v>25</v>
      </c>
      <c r="D1" s="59">
        <v>1</v>
      </c>
      <c r="E1" s="42"/>
      <c r="F1" s="42"/>
      <c r="G1" s="42"/>
      <c r="H1" s="42">
        <v>0</v>
      </c>
      <c r="K1" s="42"/>
      <c r="L1" s="42"/>
      <c r="N1" s="44" t="s">
        <v>43</v>
      </c>
      <c r="O1" s="44">
        <v>50</v>
      </c>
      <c r="P1" s="43" t="s">
        <v>42</v>
      </c>
      <c r="Q1" s="43" t="s">
        <v>55</v>
      </c>
    </row>
    <row r="2" spans="1:27" x14ac:dyDescent="0.25">
      <c r="A2" s="61" t="s">
        <v>46</v>
      </c>
      <c r="B2" s="69"/>
      <c r="C2" s="59">
        <v>25</v>
      </c>
      <c r="D2" s="59">
        <v>1</v>
      </c>
      <c r="E2" s="42"/>
      <c r="F2" s="42"/>
      <c r="G2" s="42"/>
      <c r="H2" s="42">
        <v>0</v>
      </c>
      <c r="J2" s="98" t="s">
        <v>33</v>
      </c>
      <c r="K2" s="98"/>
      <c r="L2" s="58">
        <f>COUNTIF(D1:D106,"0")</f>
        <v>14</v>
      </c>
      <c r="N2" s="44" t="s">
        <v>35</v>
      </c>
      <c r="O2" s="44">
        <v>25</v>
      </c>
      <c r="P2" s="43" t="s">
        <v>36</v>
      </c>
      <c r="Q2" s="43">
        <v>50</v>
      </c>
      <c r="T2" s="40" t="s">
        <v>16</v>
      </c>
      <c r="U2" s="40">
        <v>0</v>
      </c>
      <c r="V2" s="42"/>
      <c r="W2" s="42"/>
      <c r="X2" s="42"/>
      <c r="Y2" s="42"/>
      <c r="Z2" s="42"/>
      <c r="AA2" s="42"/>
    </row>
    <row r="3" spans="1:27" x14ac:dyDescent="0.25">
      <c r="A3" s="61" t="s">
        <v>47</v>
      </c>
      <c r="B3" s="69"/>
      <c r="C3" s="59">
        <v>25</v>
      </c>
      <c r="D3" s="59">
        <v>1</v>
      </c>
      <c r="E3" s="42"/>
      <c r="F3" s="42"/>
      <c r="G3" s="42"/>
      <c r="H3" s="42">
        <v>0</v>
      </c>
      <c r="L3" s="42"/>
      <c r="N3" s="44"/>
      <c r="O3" s="44">
        <v>75</v>
      </c>
      <c r="P3" s="43"/>
      <c r="Q3" s="43" t="s">
        <v>3</v>
      </c>
      <c r="T3" s="40" t="s">
        <v>17</v>
      </c>
      <c r="U3" s="40">
        <v>0</v>
      </c>
    </row>
    <row r="4" spans="1:27" x14ac:dyDescent="0.25">
      <c r="A4" s="61" t="s">
        <v>48</v>
      </c>
      <c r="B4" s="69"/>
      <c r="C4" s="59">
        <v>25</v>
      </c>
      <c r="D4" s="59">
        <v>1</v>
      </c>
      <c r="E4" s="42"/>
      <c r="F4" s="42"/>
      <c r="G4" s="42"/>
      <c r="H4" s="42">
        <v>0</v>
      </c>
      <c r="K4" s="42"/>
      <c r="L4" s="42"/>
      <c r="N4" s="44"/>
      <c r="O4" s="44">
        <v>50</v>
      </c>
      <c r="P4" s="43"/>
      <c r="Q4" s="43" t="s">
        <v>53</v>
      </c>
    </row>
    <row r="5" spans="1:27" x14ac:dyDescent="0.25">
      <c r="A5" s="61" t="s">
        <v>45</v>
      </c>
      <c r="B5" s="69"/>
      <c r="C5" s="59">
        <v>25</v>
      </c>
      <c r="D5" s="59">
        <v>1</v>
      </c>
      <c r="E5" s="42"/>
      <c r="F5" s="42"/>
      <c r="G5" s="42"/>
      <c r="H5" s="42">
        <v>0</v>
      </c>
      <c r="K5" s="42"/>
      <c r="L5" s="42"/>
      <c r="N5" s="44"/>
      <c r="O5" s="44" t="s">
        <v>3</v>
      </c>
      <c r="P5" s="43"/>
      <c r="Q5" s="43" t="s">
        <v>54</v>
      </c>
      <c r="V5" s="73" t="s">
        <v>58</v>
      </c>
      <c r="W5" s="73" t="s">
        <v>59</v>
      </c>
    </row>
    <row r="6" spans="1:27" x14ac:dyDescent="0.25">
      <c r="A6" s="61" t="s">
        <v>49</v>
      </c>
      <c r="B6" s="69"/>
      <c r="C6" s="59">
        <v>25</v>
      </c>
      <c r="D6" s="59">
        <v>1</v>
      </c>
      <c r="E6" s="42"/>
      <c r="F6" s="42"/>
      <c r="G6" s="42"/>
      <c r="H6" s="42">
        <v>0</v>
      </c>
      <c r="K6" s="42"/>
      <c r="L6" s="42"/>
      <c r="N6" s="44"/>
      <c r="O6" s="44" t="s">
        <v>3</v>
      </c>
      <c r="P6" s="43"/>
      <c r="Q6" s="43">
        <v>100</v>
      </c>
      <c r="V6" s="73">
        <v>4</v>
      </c>
      <c r="W6" s="73">
        <v>3</v>
      </c>
    </row>
    <row r="7" spans="1:27" x14ac:dyDescent="0.25">
      <c r="A7" s="61" t="s">
        <v>50</v>
      </c>
      <c r="B7" s="69"/>
      <c r="C7" s="59">
        <v>25</v>
      </c>
      <c r="D7" s="59">
        <v>1</v>
      </c>
      <c r="E7" s="42"/>
      <c r="F7" s="42"/>
      <c r="G7" s="42"/>
      <c r="H7" s="42">
        <v>0</v>
      </c>
      <c r="K7" s="42"/>
      <c r="L7" s="42"/>
      <c r="N7" s="44"/>
      <c r="O7" s="44"/>
      <c r="P7" s="43"/>
      <c r="Q7" s="43"/>
      <c r="V7" s="74" t="str">
        <f>_xlfn.IFS(V6=0,"taxi",V6=1,"Voiture_rose",V6=2,"Voiture_verte",V6=3,"Cabriolet",V6=4,"4x4",V6=5,"Voiture_rouge")</f>
        <v>4x4</v>
      </c>
      <c r="W7" s="74" t="str">
        <f>_xlfn.IFS(W6=0,"taxi",W6=1,"Voiture_rose",W6=2,"Voiture_verte",W6=3,"Cabriolet",W6=4,"4x4",W6=5,"Voiture_rouge")</f>
        <v>Cabriolet</v>
      </c>
      <c r="X7" s="73" t="s">
        <v>60</v>
      </c>
    </row>
    <row r="8" spans="1:27" x14ac:dyDescent="0.25">
      <c r="A8" s="61" t="s">
        <v>51</v>
      </c>
      <c r="B8" s="69"/>
      <c r="C8" s="59">
        <v>25</v>
      </c>
      <c r="D8" s="59">
        <v>0</v>
      </c>
      <c r="E8" s="42"/>
      <c r="F8" s="42"/>
      <c r="G8" s="42"/>
      <c r="H8" s="42">
        <v>0</v>
      </c>
      <c r="M8" s="52"/>
      <c r="O8" s="42"/>
      <c r="P8" s="42"/>
      <c r="Q8" s="42"/>
      <c r="R8" s="42"/>
      <c r="U8" s="73" t="s">
        <v>67</v>
      </c>
      <c r="V8" s="73" t="str">
        <f>IF($V$6=0,"b","a")</f>
        <v>a</v>
      </c>
      <c r="W8" s="73" t="str">
        <f>IF($W$6=0,"b","a")</f>
        <v>a</v>
      </c>
      <c r="X8" s="99" t="s">
        <v>66</v>
      </c>
    </row>
    <row r="9" spans="1:27" x14ac:dyDescent="0.25">
      <c r="A9" s="62" t="s">
        <v>52</v>
      </c>
      <c r="B9" s="70"/>
      <c r="C9" s="59">
        <v>25</v>
      </c>
      <c r="D9" s="59">
        <v>1</v>
      </c>
      <c r="E9" s="42"/>
      <c r="F9" s="42"/>
      <c r="G9" s="42"/>
      <c r="H9" s="42">
        <v>0</v>
      </c>
      <c r="M9" s="53" t="s">
        <v>39</v>
      </c>
      <c r="N9" s="45" t="s">
        <v>9</v>
      </c>
      <c r="O9" s="66"/>
      <c r="P9" s="66"/>
      <c r="Q9" s="66"/>
      <c r="R9" s="66"/>
      <c r="S9" s="46"/>
      <c r="U9" s="73" t="s">
        <v>61</v>
      </c>
      <c r="V9" s="73" t="str">
        <f>IF($V$6=1,"b","a")</f>
        <v>a</v>
      </c>
      <c r="W9" s="73" t="str">
        <f>IF($W$6=1,"b","a")</f>
        <v>a</v>
      </c>
      <c r="X9" s="99"/>
    </row>
    <row r="10" spans="1:27" x14ac:dyDescent="0.25">
      <c r="A10" s="63"/>
      <c r="B10" s="71"/>
      <c r="C10" s="59">
        <v>25</v>
      </c>
      <c r="D10" s="59">
        <v>0</v>
      </c>
      <c r="E10" s="42"/>
      <c r="F10" s="42"/>
      <c r="G10" s="42"/>
      <c r="H10" s="42">
        <v>0</v>
      </c>
      <c r="M10" s="54" t="s">
        <v>40</v>
      </c>
      <c r="N10" s="47"/>
      <c r="O10" s="45" t="s">
        <v>10</v>
      </c>
      <c r="P10" s="45" t="s">
        <v>14</v>
      </c>
      <c r="Q10" s="45" t="s">
        <v>8</v>
      </c>
      <c r="R10" s="45" t="s">
        <v>14</v>
      </c>
      <c r="S10" s="46"/>
      <c r="U10" s="73" t="s">
        <v>62</v>
      </c>
      <c r="V10" s="73" t="str">
        <f>IF($V$6=2,"b","a")</f>
        <v>a</v>
      </c>
      <c r="W10" s="73" t="str">
        <f>IF($W$6=2,"b","a")</f>
        <v>a</v>
      </c>
      <c r="X10" s="99"/>
    </row>
    <row r="11" spans="1:27" x14ac:dyDescent="0.25">
      <c r="A11" s="63"/>
      <c r="B11" s="72"/>
      <c r="C11" s="59">
        <v>50</v>
      </c>
      <c r="D11" s="59">
        <v>1</v>
      </c>
      <c r="E11" s="42"/>
      <c r="F11" s="42"/>
      <c r="G11" s="42"/>
      <c r="H11" s="42">
        <v>0</v>
      </c>
      <c r="M11" s="54" t="s">
        <v>70</v>
      </c>
      <c r="N11" s="48"/>
      <c r="O11" s="45" t="s">
        <v>11</v>
      </c>
      <c r="P11" s="45" t="s">
        <v>13</v>
      </c>
      <c r="Q11" s="45" t="s">
        <v>4</v>
      </c>
      <c r="R11" s="45" t="s">
        <v>14</v>
      </c>
      <c r="S11" s="46"/>
      <c r="U11" s="75" t="s">
        <v>63</v>
      </c>
      <c r="V11" s="73" t="str">
        <f>IF($V$6=3,"b","a")</f>
        <v>a</v>
      </c>
      <c r="W11" s="73" t="str">
        <f>IF($W$6=3,"b","a")</f>
        <v>b</v>
      </c>
      <c r="X11" s="99"/>
    </row>
    <row r="12" spans="1:27" x14ac:dyDescent="0.25">
      <c r="A12" s="63"/>
      <c r="B12" s="72"/>
      <c r="C12" s="59">
        <v>50</v>
      </c>
      <c r="D12" s="59">
        <v>0</v>
      </c>
      <c r="E12" s="42"/>
      <c r="F12" s="42"/>
      <c r="G12" s="42"/>
      <c r="H12" s="42">
        <v>0</v>
      </c>
      <c r="L12" s="42"/>
      <c r="M12" s="54" t="s">
        <v>41</v>
      </c>
      <c r="N12" s="48"/>
      <c r="O12" s="45" t="s">
        <v>7</v>
      </c>
      <c r="P12" s="45" t="s">
        <v>13</v>
      </c>
      <c r="Q12" s="45" t="s">
        <v>6</v>
      </c>
      <c r="R12" s="45" t="s">
        <v>14</v>
      </c>
      <c r="S12" s="46"/>
      <c r="U12" s="75" t="s">
        <v>64</v>
      </c>
      <c r="V12" s="73" t="str">
        <f>IF($V$6=4,"b","a")</f>
        <v>b</v>
      </c>
      <c r="W12" s="73" t="str">
        <f>IF($W$6=4,"b","a")</f>
        <v>a</v>
      </c>
      <c r="X12" s="99"/>
    </row>
    <row r="13" spans="1:27" x14ac:dyDescent="0.25">
      <c r="A13" s="63"/>
      <c r="B13" s="72"/>
      <c r="C13" s="59">
        <v>50</v>
      </c>
      <c r="D13" s="59">
        <v>1</v>
      </c>
      <c r="E13" s="42"/>
      <c r="F13" s="42"/>
      <c r="G13" s="42"/>
      <c r="H13" s="42">
        <v>0</v>
      </c>
      <c r="L13" s="42"/>
      <c r="M13" s="54" t="s">
        <v>71</v>
      </c>
      <c r="N13" s="48"/>
      <c r="O13" s="45" t="s">
        <v>2</v>
      </c>
      <c r="P13" s="45" t="s">
        <v>13</v>
      </c>
      <c r="Q13" s="45" t="s">
        <v>1</v>
      </c>
      <c r="R13" s="45" t="s">
        <v>14</v>
      </c>
      <c r="S13" s="46"/>
      <c r="U13" s="76" t="s">
        <v>65</v>
      </c>
      <c r="V13" s="73" t="str">
        <f>IF($V$6=5,"b","a")</f>
        <v>a</v>
      </c>
      <c r="W13" s="73" t="str">
        <f>IF($W$6=5,"b","a")</f>
        <v>a</v>
      </c>
      <c r="X13" s="99"/>
    </row>
    <row r="14" spans="1:27" x14ac:dyDescent="0.25">
      <c r="A14" s="63"/>
      <c r="B14" s="72"/>
      <c r="C14" s="59">
        <v>50</v>
      </c>
      <c r="D14" s="59">
        <v>1</v>
      </c>
      <c r="E14" s="42"/>
      <c r="F14" s="42"/>
      <c r="G14" s="42"/>
      <c r="H14" s="42">
        <v>0</v>
      </c>
      <c r="M14" s="55"/>
      <c r="N14" s="50"/>
      <c r="O14" s="45" t="s">
        <v>5</v>
      </c>
      <c r="P14" s="45" t="s">
        <v>13</v>
      </c>
      <c r="Q14" s="65"/>
      <c r="R14" s="65"/>
      <c r="S14" s="46"/>
    </row>
    <row r="15" spans="1:27" x14ac:dyDescent="0.25">
      <c r="A15" s="63"/>
      <c r="B15" s="72"/>
      <c r="C15" s="59">
        <v>50</v>
      </c>
      <c r="D15" s="59">
        <v>1</v>
      </c>
      <c r="E15" s="42"/>
      <c r="F15" s="42"/>
      <c r="G15" s="42"/>
      <c r="H15" s="42">
        <v>0</v>
      </c>
      <c r="M15" s="52"/>
      <c r="N15" s="46"/>
      <c r="O15" s="46"/>
      <c r="P15" s="46"/>
      <c r="Q15" s="51"/>
      <c r="R15" s="51"/>
      <c r="S15" s="46"/>
    </row>
    <row r="16" spans="1:27" x14ac:dyDescent="0.25">
      <c r="A16" s="63"/>
      <c r="B16" s="72"/>
      <c r="C16" s="59">
        <v>50</v>
      </c>
      <c r="D16" s="59">
        <v>1</v>
      </c>
      <c r="E16" s="42"/>
      <c r="F16" s="42"/>
      <c r="G16" s="42"/>
      <c r="H16" s="42">
        <v>0</v>
      </c>
      <c r="M16" s="67"/>
      <c r="N16" s="42"/>
      <c r="O16" s="45" t="s">
        <v>34</v>
      </c>
      <c r="P16" s="45">
        <v>0</v>
      </c>
      <c r="Q16" s="46"/>
      <c r="R16" s="46"/>
      <c r="S16" s="46"/>
      <c r="T16" s="77" t="s">
        <v>68</v>
      </c>
      <c r="U16" s="77" t="s">
        <v>13</v>
      </c>
    </row>
    <row r="17" spans="1:21" x14ac:dyDescent="0.25">
      <c r="A17" s="63"/>
      <c r="B17" s="72"/>
      <c r="C17" s="59">
        <v>50</v>
      </c>
      <c r="D17" s="59">
        <v>0</v>
      </c>
      <c r="E17" s="42"/>
      <c r="F17" s="42"/>
      <c r="G17" s="42"/>
      <c r="H17" s="42">
        <v>0</v>
      </c>
      <c r="M17" s="67"/>
      <c r="N17" s="65"/>
      <c r="O17" s="45" t="s">
        <v>15</v>
      </c>
      <c r="P17" s="45">
        <f>COUNTIF(P10:P13,"b")</f>
        <v>1</v>
      </c>
      <c r="Q17" s="46"/>
      <c r="R17" s="46"/>
      <c r="S17" s="46"/>
      <c r="T17" s="77" t="s">
        <v>69</v>
      </c>
      <c r="U17" s="77" t="s">
        <v>14</v>
      </c>
    </row>
    <row r="18" spans="1:21" x14ac:dyDescent="0.25">
      <c r="A18" s="64"/>
      <c r="B18" s="64"/>
      <c r="C18" s="59">
        <v>50</v>
      </c>
      <c r="D18" s="59">
        <v>1</v>
      </c>
      <c r="E18" s="42"/>
      <c r="F18" s="42"/>
      <c r="G18" s="42"/>
      <c r="H18" s="42">
        <v>0</v>
      </c>
      <c r="M18" s="67"/>
      <c r="N18" s="51"/>
      <c r="O18" s="46"/>
      <c r="P18" s="46"/>
      <c r="Q18" s="46"/>
      <c r="R18" s="46"/>
      <c r="S18" s="46"/>
    </row>
    <row r="19" spans="1:21" x14ac:dyDescent="0.25">
      <c r="A19" s="64"/>
      <c r="B19" s="64"/>
      <c r="C19" s="59">
        <v>50</v>
      </c>
      <c r="D19" s="59">
        <v>1</v>
      </c>
      <c r="E19" s="42"/>
      <c r="F19" s="42"/>
      <c r="G19" s="42"/>
      <c r="H19" s="42">
        <v>0</v>
      </c>
      <c r="M19" s="52"/>
      <c r="N19" s="46"/>
      <c r="O19" s="46"/>
      <c r="P19" s="46"/>
      <c r="Q19" s="46"/>
      <c r="R19" s="46"/>
      <c r="S19" s="46"/>
    </row>
    <row r="20" spans="1:21" x14ac:dyDescent="0.25">
      <c r="A20" s="64"/>
      <c r="B20" s="64"/>
      <c r="C20" s="59">
        <v>50</v>
      </c>
      <c r="D20" s="59">
        <v>0</v>
      </c>
      <c r="E20" s="42"/>
      <c r="F20" s="42"/>
      <c r="G20" s="42"/>
      <c r="H20" s="42">
        <v>1</v>
      </c>
      <c r="M20" s="52"/>
      <c r="N20" s="46"/>
      <c r="O20" s="46"/>
      <c r="P20" s="46"/>
      <c r="Q20" s="46"/>
      <c r="R20" s="46"/>
      <c r="S20" s="46"/>
    </row>
    <row r="21" spans="1:21" x14ac:dyDescent="0.25">
      <c r="A21" s="64"/>
      <c r="B21" s="64"/>
      <c r="C21" s="59">
        <v>75</v>
      </c>
      <c r="D21" s="59">
        <v>1</v>
      </c>
      <c r="E21" s="42"/>
      <c r="F21" s="42"/>
      <c r="G21" s="42"/>
      <c r="H21" s="42">
        <v>0</v>
      </c>
      <c r="M21" s="52"/>
      <c r="N21" s="46"/>
      <c r="O21" s="46"/>
      <c r="P21" s="46"/>
      <c r="Q21" s="46"/>
      <c r="R21" s="46"/>
      <c r="S21" s="46"/>
    </row>
    <row r="22" spans="1:21" x14ac:dyDescent="0.25">
      <c r="A22" s="64"/>
      <c r="B22" s="64"/>
      <c r="C22" s="59">
        <v>75</v>
      </c>
      <c r="D22" s="59">
        <v>1</v>
      </c>
      <c r="E22" s="42"/>
      <c r="F22" s="42"/>
      <c r="G22" s="42"/>
      <c r="H22" s="42">
        <v>0</v>
      </c>
      <c r="M22" s="56" t="s">
        <v>39</v>
      </c>
      <c r="N22" s="45" t="s">
        <v>12</v>
      </c>
      <c r="O22" s="65"/>
      <c r="P22" s="65"/>
      <c r="Q22" s="65"/>
      <c r="R22" s="65"/>
      <c r="S22" s="46"/>
    </row>
    <row r="23" spans="1:21" x14ac:dyDescent="0.25">
      <c r="A23" s="64"/>
      <c r="B23" s="64"/>
      <c r="C23" s="59">
        <v>75</v>
      </c>
      <c r="D23" s="59">
        <v>1</v>
      </c>
      <c r="E23" s="42"/>
      <c r="F23" s="42"/>
      <c r="G23" s="42"/>
      <c r="H23" s="42">
        <v>0</v>
      </c>
      <c r="M23" s="54" t="s">
        <v>40</v>
      </c>
      <c r="N23" s="47"/>
      <c r="O23" s="45" t="s">
        <v>10</v>
      </c>
      <c r="P23" s="45" t="s">
        <v>13</v>
      </c>
      <c r="Q23" s="45" t="s">
        <v>8</v>
      </c>
      <c r="R23" s="45" t="s">
        <v>14</v>
      </c>
      <c r="S23" s="46"/>
    </row>
    <row r="24" spans="1:21" x14ac:dyDescent="0.25">
      <c r="A24" s="64"/>
      <c r="B24" s="64"/>
      <c r="C24" s="59">
        <v>75</v>
      </c>
      <c r="D24" s="59">
        <v>1</v>
      </c>
      <c r="E24" s="42"/>
      <c r="F24" s="42"/>
      <c r="G24" s="42"/>
      <c r="H24" s="42">
        <v>0</v>
      </c>
      <c r="M24" s="54" t="s">
        <v>70</v>
      </c>
      <c r="N24" s="48"/>
      <c r="O24" s="45" t="s">
        <v>11</v>
      </c>
      <c r="P24" s="45" t="s">
        <v>13</v>
      </c>
      <c r="Q24" s="45" t="s">
        <v>4</v>
      </c>
      <c r="R24" s="45" t="s">
        <v>14</v>
      </c>
      <c r="S24" s="46"/>
    </row>
    <row r="25" spans="1:21" x14ac:dyDescent="0.25">
      <c r="A25" s="64"/>
      <c r="B25" s="64"/>
      <c r="C25" s="59">
        <v>75</v>
      </c>
      <c r="D25" s="59">
        <v>1</v>
      </c>
      <c r="E25" s="42"/>
      <c r="F25" s="42"/>
      <c r="G25" s="42"/>
      <c r="H25" s="42">
        <v>0</v>
      </c>
      <c r="M25" s="54" t="s">
        <v>41</v>
      </c>
      <c r="N25" s="48"/>
      <c r="O25" s="45" t="s">
        <v>7</v>
      </c>
      <c r="P25" s="45" t="s">
        <v>13</v>
      </c>
      <c r="Q25" s="45" t="s">
        <v>6</v>
      </c>
      <c r="R25" s="45" t="s">
        <v>14</v>
      </c>
      <c r="S25" s="46"/>
    </row>
    <row r="26" spans="1:21" x14ac:dyDescent="0.25">
      <c r="A26" s="64"/>
      <c r="B26" s="64"/>
      <c r="C26" s="59">
        <v>75</v>
      </c>
      <c r="D26" s="59">
        <v>1</v>
      </c>
      <c r="E26" s="42"/>
      <c r="F26" s="42"/>
      <c r="G26" s="42"/>
      <c r="H26" s="42">
        <v>0</v>
      </c>
      <c r="M26" s="54" t="s">
        <v>71</v>
      </c>
      <c r="N26" s="48"/>
      <c r="O26" s="45" t="s">
        <v>2</v>
      </c>
      <c r="P26" s="45" t="s">
        <v>13</v>
      </c>
      <c r="Q26" s="45" t="s">
        <v>1</v>
      </c>
      <c r="R26" s="45" t="s">
        <v>14</v>
      </c>
      <c r="S26" s="46"/>
    </row>
    <row r="27" spans="1:21" x14ac:dyDescent="0.25">
      <c r="A27" s="64"/>
      <c r="B27" s="64"/>
      <c r="C27" s="59">
        <v>75</v>
      </c>
      <c r="D27" s="59">
        <v>1</v>
      </c>
      <c r="E27" s="42"/>
      <c r="F27" s="42"/>
      <c r="G27" s="42"/>
      <c r="H27" s="42">
        <v>0</v>
      </c>
      <c r="M27" s="49"/>
      <c r="N27" s="50"/>
      <c r="O27" s="57" t="s">
        <v>5</v>
      </c>
      <c r="P27" s="45" t="s">
        <v>13</v>
      </c>
      <c r="Q27" s="65"/>
      <c r="R27" s="65"/>
      <c r="S27" s="46"/>
      <c r="T27" s="40" t="s">
        <v>72</v>
      </c>
      <c r="U27" s="40">
        <f>P30+P16</f>
        <v>1</v>
      </c>
    </row>
    <row r="28" spans="1:21" x14ac:dyDescent="0.25">
      <c r="A28" s="64"/>
      <c r="B28" s="64"/>
      <c r="C28" s="59">
        <v>75</v>
      </c>
      <c r="D28" s="59">
        <v>1</v>
      </c>
      <c r="E28" s="42"/>
      <c r="F28" s="42"/>
      <c r="G28" s="42"/>
      <c r="H28" s="42">
        <v>0</v>
      </c>
      <c r="M28" s="46"/>
      <c r="N28" s="46"/>
      <c r="O28" s="46"/>
      <c r="P28" s="46"/>
      <c r="Q28" s="46"/>
      <c r="R28" s="46"/>
      <c r="S28" s="46"/>
    </row>
    <row r="29" spans="1:21" x14ac:dyDescent="0.25">
      <c r="A29" s="64"/>
      <c r="B29" s="64"/>
      <c r="C29" s="59">
        <v>75</v>
      </c>
      <c r="D29" s="59">
        <v>1</v>
      </c>
      <c r="E29" s="42"/>
      <c r="F29" s="42"/>
      <c r="G29" s="42"/>
      <c r="H29" s="42">
        <v>0</v>
      </c>
      <c r="M29" s="51"/>
      <c r="N29" s="42"/>
      <c r="O29" s="45" t="s">
        <v>15</v>
      </c>
      <c r="P29" s="45">
        <f>COUNTIF(P23:P26,"b")</f>
        <v>0</v>
      </c>
      <c r="Q29" s="46"/>
      <c r="R29" s="46"/>
      <c r="S29" s="46"/>
    </row>
    <row r="30" spans="1:21" x14ac:dyDescent="0.25">
      <c r="A30" s="64"/>
      <c r="B30" s="64"/>
      <c r="C30" s="59">
        <v>75</v>
      </c>
      <c r="D30" s="59">
        <v>0</v>
      </c>
      <c r="E30" s="42"/>
      <c r="F30" s="42"/>
      <c r="G30" s="42"/>
      <c r="H30" s="42">
        <v>0</v>
      </c>
      <c r="M30" s="51"/>
      <c r="N30" s="65"/>
      <c r="O30" s="45" t="s">
        <v>44</v>
      </c>
      <c r="P30" s="45">
        <v>1</v>
      </c>
      <c r="Q30" s="46"/>
      <c r="R30" s="46"/>
      <c r="S30" s="46"/>
    </row>
    <row r="31" spans="1:21" x14ac:dyDescent="0.25">
      <c r="A31" s="64"/>
      <c r="B31" s="64"/>
      <c r="C31" s="59">
        <v>100</v>
      </c>
      <c r="D31" s="59">
        <v>1</v>
      </c>
      <c r="E31" s="42"/>
      <c r="F31" s="42"/>
      <c r="G31" s="42"/>
      <c r="H31" s="42">
        <v>0</v>
      </c>
      <c r="M31" s="51"/>
      <c r="N31" s="51"/>
      <c r="O31" s="46"/>
      <c r="P31" s="51"/>
      <c r="Q31" s="46"/>
      <c r="R31" s="46"/>
      <c r="S31" s="46"/>
    </row>
    <row r="32" spans="1:21" x14ac:dyDescent="0.25">
      <c r="A32" s="64"/>
      <c r="B32" s="64"/>
      <c r="C32" s="59">
        <v>100</v>
      </c>
      <c r="D32" s="59">
        <v>1</v>
      </c>
      <c r="E32" s="42"/>
      <c r="F32" s="42"/>
      <c r="G32" s="42"/>
      <c r="H32" s="42">
        <v>0</v>
      </c>
      <c r="M32" s="46"/>
      <c r="N32" s="46"/>
      <c r="O32" s="46"/>
      <c r="P32" s="46"/>
      <c r="Q32" s="46"/>
      <c r="R32" s="46"/>
      <c r="S32" s="46"/>
    </row>
    <row r="33" spans="1:19" x14ac:dyDescent="0.25">
      <c r="A33" s="64"/>
      <c r="B33" s="64"/>
      <c r="C33" s="59">
        <v>100</v>
      </c>
      <c r="D33" s="59">
        <v>1</v>
      </c>
      <c r="E33" s="42"/>
      <c r="F33" s="42"/>
      <c r="G33" s="42"/>
      <c r="H33" s="42">
        <v>0</v>
      </c>
      <c r="M33" s="46"/>
      <c r="N33" s="46"/>
      <c r="O33" s="46"/>
      <c r="P33" s="46"/>
      <c r="Q33" s="46"/>
      <c r="R33" s="46"/>
      <c r="S33" s="46"/>
    </row>
    <row r="34" spans="1:19" x14ac:dyDescent="0.25">
      <c r="A34" s="64"/>
      <c r="B34" s="64"/>
      <c r="C34" s="59">
        <v>100</v>
      </c>
      <c r="D34" s="59">
        <v>1</v>
      </c>
      <c r="E34" s="42"/>
      <c r="F34" s="42"/>
      <c r="G34" s="42"/>
      <c r="H34" s="42">
        <v>0</v>
      </c>
      <c r="J34" s="42"/>
      <c r="K34" s="42"/>
      <c r="L34" s="42"/>
      <c r="M34" s="51"/>
      <c r="N34" s="46"/>
      <c r="O34" s="46"/>
      <c r="P34" s="46"/>
      <c r="Q34" s="46"/>
      <c r="R34" s="46"/>
      <c r="S34" s="46"/>
    </row>
    <row r="35" spans="1:19" x14ac:dyDescent="0.25">
      <c r="A35" s="64"/>
      <c r="B35" s="64"/>
      <c r="C35" s="59">
        <v>100</v>
      </c>
      <c r="D35" s="59">
        <v>1</v>
      </c>
      <c r="E35" s="42"/>
      <c r="F35" s="42"/>
      <c r="G35" s="42"/>
      <c r="H35" s="42">
        <v>0</v>
      </c>
      <c r="M35" s="46"/>
      <c r="N35" s="46"/>
      <c r="O35" s="46"/>
      <c r="P35" s="46"/>
      <c r="Q35" s="46"/>
      <c r="R35" s="46"/>
      <c r="S35" s="46"/>
    </row>
    <row r="36" spans="1:19" x14ac:dyDescent="0.25">
      <c r="A36" s="64"/>
      <c r="B36" s="64"/>
      <c r="C36" s="59">
        <v>100</v>
      </c>
      <c r="D36" s="59">
        <v>1</v>
      </c>
      <c r="E36" s="42"/>
      <c r="F36" s="42"/>
      <c r="G36" s="42"/>
      <c r="H36" s="42">
        <v>0</v>
      </c>
      <c r="N36" s="41" t="s">
        <v>37</v>
      </c>
      <c r="O36" s="41" t="s">
        <v>73</v>
      </c>
    </row>
    <row r="37" spans="1:19" x14ac:dyDescent="0.25">
      <c r="A37" s="64"/>
      <c r="B37" s="64"/>
      <c r="C37" s="59">
        <v>100</v>
      </c>
      <c r="D37" s="59">
        <v>1</v>
      </c>
      <c r="E37" s="42"/>
      <c r="F37" s="42"/>
      <c r="G37" s="42"/>
      <c r="H37" s="42">
        <v>0</v>
      </c>
      <c r="N37" s="41" t="s">
        <v>38</v>
      </c>
      <c r="O37" s="41" t="s">
        <v>74</v>
      </c>
    </row>
    <row r="38" spans="1:19" x14ac:dyDescent="0.25">
      <c r="A38" s="64"/>
      <c r="B38" s="64"/>
      <c r="C38" s="59">
        <v>100</v>
      </c>
      <c r="D38" s="59">
        <v>1</v>
      </c>
      <c r="E38" s="42"/>
      <c r="F38" s="42"/>
      <c r="G38" s="42"/>
      <c r="H38" s="42">
        <v>0</v>
      </c>
    </row>
    <row r="39" spans="1:19" x14ac:dyDescent="0.25">
      <c r="A39" s="64"/>
      <c r="B39" s="64"/>
      <c r="C39" s="59">
        <v>100</v>
      </c>
      <c r="D39" s="59">
        <v>1</v>
      </c>
      <c r="E39" s="42"/>
      <c r="F39" s="42"/>
      <c r="G39" s="42"/>
      <c r="H39" s="42">
        <v>0</v>
      </c>
    </row>
    <row r="40" spans="1:19" x14ac:dyDescent="0.25">
      <c r="A40" s="64"/>
      <c r="B40" s="64"/>
      <c r="C40" s="59">
        <v>100</v>
      </c>
      <c r="D40" s="59">
        <v>1</v>
      </c>
      <c r="E40" s="42"/>
      <c r="F40" s="42"/>
      <c r="G40" s="42"/>
      <c r="H40" s="42">
        <v>0</v>
      </c>
    </row>
    <row r="41" spans="1:19" x14ac:dyDescent="0.25">
      <c r="A41" s="64"/>
      <c r="B41" s="64"/>
      <c r="C41" s="59">
        <v>100</v>
      </c>
      <c r="D41" s="59">
        <v>0</v>
      </c>
      <c r="E41" s="42"/>
      <c r="F41" s="42"/>
      <c r="G41" s="42"/>
      <c r="H41" s="42">
        <v>1</v>
      </c>
    </row>
    <row r="42" spans="1:19" x14ac:dyDescent="0.25">
      <c r="A42" s="64"/>
      <c r="B42" s="64"/>
      <c r="C42" s="59">
        <v>100</v>
      </c>
      <c r="D42" s="59">
        <v>1</v>
      </c>
      <c r="E42" s="42"/>
      <c r="F42" s="42"/>
      <c r="G42" s="42"/>
      <c r="H42" s="42">
        <v>0</v>
      </c>
    </row>
    <row r="43" spans="1:19" x14ac:dyDescent="0.25">
      <c r="A43" s="64"/>
      <c r="B43" s="64"/>
      <c r="C43" s="59">
        <v>200</v>
      </c>
      <c r="D43" s="59">
        <v>1</v>
      </c>
      <c r="E43" s="42"/>
      <c r="F43" s="42"/>
      <c r="G43" s="42"/>
      <c r="H43" s="42">
        <v>0</v>
      </c>
    </row>
    <row r="44" spans="1:19" x14ac:dyDescent="0.25">
      <c r="A44" s="64"/>
      <c r="B44" s="64"/>
      <c r="C44" s="59">
        <v>200</v>
      </c>
      <c r="D44" s="59">
        <v>1</v>
      </c>
      <c r="E44" s="42"/>
      <c r="F44" s="42"/>
      <c r="G44" s="42"/>
      <c r="H44" s="42">
        <v>0</v>
      </c>
    </row>
    <row r="45" spans="1:19" x14ac:dyDescent="0.25">
      <c r="A45" s="64"/>
      <c r="B45" s="64"/>
      <c r="C45" s="59">
        <v>200</v>
      </c>
      <c r="D45" s="59">
        <v>1</v>
      </c>
      <c r="E45" s="42"/>
      <c r="F45" s="42"/>
      <c r="G45" s="42"/>
      <c r="H45" s="42">
        <v>0</v>
      </c>
    </row>
    <row r="46" spans="1:19" x14ac:dyDescent="0.25">
      <c r="A46" s="64"/>
      <c r="B46" s="64"/>
      <c r="C46" s="59">
        <v>200</v>
      </c>
      <c r="D46" s="59">
        <v>1</v>
      </c>
      <c r="E46" s="42"/>
      <c r="F46" s="42"/>
      <c r="G46" s="42"/>
      <c r="H46" s="42">
        <v>0</v>
      </c>
    </row>
    <row r="47" spans="1:19" x14ac:dyDescent="0.25">
      <c r="A47" s="64"/>
      <c r="B47" s="64"/>
      <c r="C47" s="59" t="s">
        <v>0</v>
      </c>
      <c r="D47" s="59">
        <v>1</v>
      </c>
      <c r="E47" s="42"/>
      <c r="F47" s="42"/>
      <c r="G47" s="42"/>
      <c r="H47" s="42">
        <v>0</v>
      </c>
    </row>
    <row r="48" spans="1:19" x14ac:dyDescent="0.25">
      <c r="A48" s="64"/>
      <c r="B48" s="64"/>
      <c r="C48" s="59" t="s">
        <v>0</v>
      </c>
      <c r="D48" s="59">
        <v>1</v>
      </c>
      <c r="E48" s="42"/>
      <c r="F48" s="42"/>
      <c r="G48" s="42"/>
      <c r="H48" s="42">
        <v>0</v>
      </c>
    </row>
    <row r="49" spans="1:12" x14ac:dyDescent="0.25">
      <c r="A49" s="64"/>
      <c r="B49" s="64"/>
      <c r="C49" s="59" t="s">
        <v>0</v>
      </c>
      <c r="D49" s="59">
        <v>1</v>
      </c>
      <c r="E49" s="42"/>
      <c r="F49" s="42"/>
      <c r="G49" s="42"/>
      <c r="H49" s="42">
        <v>0</v>
      </c>
    </row>
    <row r="50" spans="1:12" x14ac:dyDescent="0.25">
      <c r="A50" s="64"/>
      <c r="B50" s="64"/>
      <c r="C50" s="59" t="s">
        <v>0</v>
      </c>
      <c r="D50" s="59">
        <v>1</v>
      </c>
      <c r="E50" s="42"/>
      <c r="F50" s="42"/>
      <c r="G50" s="42"/>
      <c r="H50" s="42">
        <v>0</v>
      </c>
    </row>
    <row r="51" spans="1:12" x14ac:dyDescent="0.25">
      <c r="A51" s="64"/>
      <c r="B51" s="64"/>
      <c r="C51" s="59" t="s">
        <v>0</v>
      </c>
      <c r="D51" s="59">
        <v>1</v>
      </c>
      <c r="E51" s="42"/>
      <c r="F51" s="42"/>
      <c r="G51" s="42"/>
      <c r="H51" s="42">
        <v>0</v>
      </c>
      <c r="L51" s="42"/>
    </row>
    <row r="52" spans="1:12" x14ac:dyDescent="0.25">
      <c r="A52" s="64"/>
      <c r="B52" s="64"/>
      <c r="C52" s="59" t="s">
        <v>0</v>
      </c>
      <c r="D52" s="59">
        <v>1</v>
      </c>
      <c r="E52" s="42"/>
      <c r="F52" s="42"/>
      <c r="G52" s="42"/>
      <c r="H52" s="42">
        <v>0</v>
      </c>
    </row>
    <row r="53" spans="1:12" x14ac:dyDescent="0.25">
      <c r="A53" s="64"/>
      <c r="B53" s="64"/>
      <c r="C53" s="59" t="s">
        <v>0</v>
      </c>
      <c r="D53" s="59">
        <v>1</v>
      </c>
      <c r="E53" s="42"/>
      <c r="F53" s="42"/>
      <c r="G53" s="42"/>
      <c r="H53" s="42">
        <v>0</v>
      </c>
    </row>
    <row r="54" spans="1:12" x14ac:dyDescent="0.25">
      <c r="A54" s="64"/>
      <c r="B54" s="64"/>
      <c r="C54" s="59" t="s">
        <v>0</v>
      </c>
      <c r="D54" s="59">
        <v>1</v>
      </c>
      <c r="E54" s="42"/>
      <c r="F54" s="42"/>
      <c r="G54" s="42"/>
      <c r="H54" s="42">
        <v>0</v>
      </c>
    </row>
    <row r="55" spans="1:12" x14ac:dyDescent="0.25">
      <c r="A55" s="64"/>
      <c r="B55" s="64"/>
      <c r="C55" s="59" t="s">
        <v>0</v>
      </c>
      <c r="D55" s="59">
        <v>1</v>
      </c>
      <c r="E55" s="42"/>
      <c r="F55" s="42"/>
      <c r="G55" s="42"/>
      <c r="H55" s="42">
        <v>0</v>
      </c>
    </row>
    <row r="56" spans="1:12" x14ac:dyDescent="0.25">
      <c r="A56" s="64"/>
      <c r="B56" s="64"/>
      <c r="C56" s="59" t="s">
        <v>0</v>
      </c>
      <c r="D56" s="59">
        <v>1</v>
      </c>
      <c r="E56" s="42"/>
      <c r="F56" s="42"/>
      <c r="G56" s="42"/>
      <c r="H56" s="42">
        <v>0</v>
      </c>
    </row>
    <row r="57" spans="1:12" x14ac:dyDescent="0.25">
      <c r="A57" s="64"/>
      <c r="B57" s="64"/>
      <c r="C57" s="59" t="s">
        <v>0</v>
      </c>
      <c r="D57" s="59">
        <v>1</v>
      </c>
      <c r="E57" s="42"/>
      <c r="F57" s="42"/>
      <c r="G57" s="42"/>
      <c r="H57" s="42">
        <v>0</v>
      </c>
    </row>
    <row r="58" spans="1:12" x14ac:dyDescent="0.25">
      <c r="A58" s="64"/>
      <c r="B58" s="64"/>
      <c r="C58" s="59" t="s">
        <v>0</v>
      </c>
      <c r="D58" s="59">
        <v>1</v>
      </c>
      <c r="E58" s="42"/>
      <c r="F58" s="42"/>
      <c r="G58" s="42"/>
      <c r="H58" s="42">
        <v>0</v>
      </c>
    </row>
    <row r="59" spans="1:12" x14ac:dyDescent="0.25">
      <c r="A59" s="64"/>
      <c r="B59" s="64"/>
      <c r="C59" s="59" t="s">
        <v>0</v>
      </c>
      <c r="D59" s="59">
        <v>0</v>
      </c>
      <c r="E59" s="42"/>
      <c r="F59" s="42"/>
      <c r="G59" s="42"/>
      <c r="H59" s="42">
        <v>0</v>
      </c>
    </row>
    <row r="60" spans="1:12" x14ac:dyDescent="0.25">
      <c r="A60" s="64"/>
      <c r="B60" s="64"/>
      <c r="C60" s="59" t="s">
        <v>0</v>
      </c>
      <c r="D60" s="59">
        <v>1</v>
      </c>
      <c r="E60" s="42"/>
      <c r="F60" s="42"/>
      <c r="G60" s="42"/>
      <c r="H60" s="42">
        <v>0</v>
      </c>
    </row>
    <row r="61" spans="1:12" x14ac:dyDescent="0.25">
      <c r="A61" s="64"/>
      <c r="B61" s="64"/>
      <c r="C61" s="59" t="s">
        <v>53</v>
      </c>
      <c r="D61" s="59">
        <v>1</v>
      </c>
      <c r="E61" s="42"/>
      <c r="F61" s="42"/>
      <c r="G61" s="42"/>
      <c r="H61" s="42">
        <v>0</v>
      </c>
    </row>
    <row r="62" spans="1:12" x14ac:dyDescent="0.25">
      <c r="A62" s="64"/>
      <c r="B62" s="64"/>
      <c r="C62" s="59" t="s">
        <v>53</v>
      </c>
      <c r="D62" s="59">
        <v>0</v>
      </c>
      <c r="E62" s="42"/>
      <c r="F62" s="42"/>
      <c r="G62" s="42"/>
      <c r="H62" s="42">
        <v>0</v>
      </c>
    </row>
    <row r="63" spans="1:12" x14ac:dyDescent="0.25">
      <c r="A63" s="64"/>
      <c r="B63" s="64"/>
      <c r="C63" s="59" t="s">
        <v>53</v>
      </c>
      <c r="D63" s="59">
        <v>1</v>
      </c>
      <c r="E63" s="42"/>
      <c r="F63" s="42"/>
      <c r="G63" s="42"/>
      <c r="H63" s="42">
        <v>0</v>
      </c>
    </row>
    <row r="64" spans="1:12" x14ac:dyDescent="0.25">
      <c r="A64" s="64"/>
      <c r="B64" s="64"/>
      <c r="C64" s="59" t="s">
        <v>53</v>
      </c>
      <c r="D64" s="59">
        <v>1</v>
      </c>
      <c r="E64" s="42"/>
      <c r="F64" s="42"/>
      <c r="G64" s="42"/>
      <c r="H64" s="42">
        <v>0</v>
      </c>
    </row>
    <row r="65" spans="1:8" x14ac:dyDescent="0.25">
      <c r="A65" s="64"/>
      <c r="B65" s="64"/>
      <c r="C65" s="59" t="s">
        <v>53</v>
      </c>
      <c r="D65" s="59">
        <v>1</v>
      </c>
      <c r="E65" s="42"/>
      <c r="F65" s="42"/>
      <c r="G65" s="42"/>
      <c r="H65" s="42">
        <v>0</v>
      </c>
    </row>
    <row r="66" spans="1:8" x14ac:dyDescent="0.25">
      <c r="A66" s="64"/>
      <c r="B66" s="64"/>
      <c r="C66" s="59" t="s">
        <v>54</v>
      </c>
      <c r="D66" s="59">
        <v>0</v>
      </c>
      <c r="E66" s="42"/>
      <c r="F66" s="42"/>
      <c r="G66" s="42"/>
      <c r="H66" s="42">
        <v>0</v>
      </c>
    </row>
    <row r="67" spans="1:8" x14ac:dyDescent="0.25">
      <c r="A67" s="64"/>
      <c r="B67" s="64"/>
      <c r="C67" s="59" t="s">
        <v>54</v>
      </c>
      <c r="D67" s="59">
        <v>1</v>
      </c>
      <c r="E67" s="42"/>
      <c r="F67" s="42"/>
      <c r="G67" s="42"/>
      <c r="H67" s="42">
        <v>0</v>
      </c>
    </row>
    <row r="68" spans="1:8" x14ac:dyDescent="0.25">
      <c r="A68" s="64"/>
      <c r="B68" s="64"/>
      <c r="C68" s="59" t="s">
        <v>54</v>
      </c>
      <c r="D68" s="59">
        <v>1</v>
      </c>
      <c r="E68" s="42"/>
      <c r="F68" s="42"/>
      <c r="G68" s="42"/>
      <c r="H68" s="42">
        <v>0</v>
      </c>
    </row>
    <row r="69" spans="1:8" x14ac:dyDescent="0.25">
      <c r="A69" s="64"/>
      <c r="B69" s="64"/>
      <c r="C69" s="59" t="s">
        <v>55</v>
      </c>
      <c r="D69" s="59">
        <v>1</v>
      </c>
      <c r="E69" s="42"/>
      <c r="F69" s="42"/>
      <c r="G69" s="42"/>
      <c r="H69" s="42">
        <v>0</v>
      </c>
    </row>
    <row r="70" spans="1:8" x14ac:dyDescent="0.25">
      <c r="A70" s="64"/>
      <c r="B70" s="64"/>
      <c r="C70" s="59" t="s">
        <v>55</v>
      </c>
      <c r="D70" s="59">
        <v>0</v>
      </c>
      <c r="E70" s="42"/>
      <c r="F70" s="42"/>
      <c r="G70" s="42"/>
      <c r="H70" s="42">
        <v>0</v>
      </c>
    </row>
    <row r="71" spans="1:8" x14ac:dyDescent="0.25">
      <c r="A71" s="64"/>
      <c r="B71" s="64"/>
      <c r="C71" s="59" t="s">
        <v>55</v>
      </c>
      <c r="D71" s="59">
        <v>1</v>
      </c>
      <c r="E71" s="42"/>
      <c r="F71" s="42"/>
      <c r="G71" s="42"/>
      <c r="H71" s="42">
        <v>0</v>
      </c>
    </row>
    <row r="72" spans="1:8" x14ac:dyDescent="0.25">
      <c r="A72" s="64"/>
      <c r="B72" s="64"/>
      <c r="C72" s="59" t="s">
        <v>1</v>
      </c>
      <c r="D72" s="59">
        <v>1</v>
      </c>
      <c r="E72" s="42"/>
      <c r="F72" s="42"/>
      <c r="G72" s="42"/>
      <c r="H72" s="42">
        <v>0</v>
      </c>
    </row>
    <row r="73" spans="1:8" x14ac:dyDescent="0.25">
      <c r="A73" s="64"/>
      <c r="B73" s="64"/>
      <c r="C73" s="59" t="s">
        <v>2</v>
      </c>
      <c r="D73" s="59">
        <v>1</v>
      </c>
      <c r="E73" s="42"/>
      <c r="F73" s="42"/>
      <c r="G73" s="42"/>
      <c r="H73" s="42">
        <v>0</v>
      </c>
    </row>
    <row r="74" spans="1:8" x14ac:dyDescent="0.25">
      <c r="A74" s="64"/>
      <c r="B74" s="64"/>
      <c r="C74" s="59" t="s">
        <v>2</v>
      </c>
      <c r="D74" s="59">
        <v>1</v>
      </c>
      <c r="E74" s="42"/>
      <c r="F74" s="42"/>
      <c r="G74" s="42"/>
      <c r="H74" s="42">
        <v>0</v>
      </c>
    </row>
    <row r="75" spans="1:8" x14ac:dyDescent="0.25">
      <c r="A75" s="64"/>
      <c r="B75" s="64"/>
      <c r="C75" s="59" t="s">
        <v>2</v>
      </c>
      <c r="D75" s="59">
        <v>1</v>
      </c>
      <c r="E75" s="42"/>
      <c r="F75" s="42"/>
      <c r="G75" s="42"/>
      <c r="H75" s="42">
        <v>0</v>
      </c>
    </row>
    <row r="76" spans="1:8" x14ac:dyDescent="0.25">
      <c r="A76" s="64"/>
      <c r="B76" s="64"/>
      <c r="C76" s="59" t="s">
        <v>2</v>
      </c>
      <c r="D76" s="59">
        <v>1</v>
      </c>
      <c r="E76" s="42"/>
      <c r="F76" s="42"/>
      <c r="G76" s="42"/>
      <c r="H76" s="42">
        <v>0</v>
      </c>
    </row>
    <row r="77" spans="1:8" x14ac:dyDescent="0.25">
      <c r="A77" s="64"/>
      <c r="B77" s="64"/>
      <c r="C77" s="59" t="s">
        <v>2</v>
      </c>
      <c r="D77" s="59">
        <v>1</v>
      </c>
      <c r="E77" s="42"/>
      <c r="F77" s="42"/>
      <c r="G77" s="42"/>
      <c r="H77" s="42">
        <v>0</v>
      </c>
    </row>
    <row r="78" spans="1:8" x14ac:dyDescent="0.25">
      <c r="A78" s="64"/>
      <c r="B78" s="64"/>
      <c r="C78" s="59" t="s">
        <v>2</v>
      </c>
      <c r="D78" s="59">
        <v>1</v>
      </c>
      <c r="E78" s="42"/>
      <c r="F78" s="42"/>
      <c r="G78" s="42"/>
      <c r="H78" s="42">
        <v>0</v>
      </c>
    </row>
    <row r="79" spans="1:8" x14ac:dyDescent="0.25">
      <c r="A79" s="64"/>
      <c r="B79" s="64"/>
      <c r="C79" s="59" t="s">
        <v>3</v>
      </c>
      <c r="D79" s="59">
        <v>1</v>
      </c>
      <c r="E79" s="42"/>
      <c r="F79" s="42"/>
      <c r="G79" s="42"/>
      <c r="H79" s="42">
        <v>0</v>
      </c>
    </row>
    <row r="80" spans="1:8" x14ac:dyDescent="0.25">
      <c r="A80" s="64"/>
      <c r="B80" s="64"/>
      <c r="C80" s="59" t="s">
        <v>3</v>
      </c>
      <c r="D80" s="59">
        <v>0</v>
      </c>
      <c r="E80" s="42"/>
      <c r="F80" s="42"/>
      <c r="G80" s="42"/>
      <c r="H80" s="42">
        <v>0</v>
      </c>
    </row>
    <row r="81" spans="1:8" x14ac:dyDescent="0.25">
      <c r="A81" s="64"/>
      <c r="B81" s="64"/>
      <c r="C81" s="59" t="s">
        <v>3</v>
      </c>
      <c r="D81" s="59">
        <v>1</v>
      </c>
      <c r="E81" s="42"/>
      <c r="F81" s="42"/>
      <c r="G81" s="42"/>
      <c r="H81" s="42">
        <v>0</v>
      </c>
    </row>
    <row r="82" spans="1:8" x14ac:dyDescent="0.25">
      <c r="A82" s="64"/>
      <c r="B82" s="64"/>
      <c r="C82" s="59" t="s">
        <v>3</v>
      </c>
      <c r="D82" s="59">
        <v>0</v>
      </c>
      <c r="E82" s="42"/>
      <c r="F82" s="42"/>
      <c r="G82" s="42"/>
      <c r="H82" s="42">
        <v>0</v>
      </c>
    </row>
    <row r="83" spans="1:8" x14ac:dyDescent="0.25">
      <c r="A83" s="64"/>
      <c r="B83" s="64"/>
      <c r="C83" s="59" t="s">
        <v>3</v>
      </c>
      <c r="D83" s="59">
        <v>1</v>
      </c>
      <c r="E83" s="42"/>
      <c r="F83" s="42"/>
      <c r="G83" s="42"/>
      <c r="H83" s="42">
        <v>0</v>
      </c>
    </row>
    <row r="84" spans="1:8" x14ac:dyDescent="0.25">
      <c r="A84" s="64"/>
      <c r="B84" s="64"/>
      <c r="C84" s="59" t="s">
        <v>3</v>
      </c>
      <c r="D84" s="59">
        <v>0</v>
      </c>
      <c r="E84" s="42"/>
      <c r="F84" s="42"/>
      <c r="G84" s="42"/>
      <c r="H84" s="42">
        <v>0</v>
      </c>
    </row>
    <row r="85" spans="1:8" x14ac:dyDescent="0.25">
      <c r="A85" s="64"/>
      <c r="B85" s="64"/>
      <c r="C85" s="59" t="s">
        <v>4</v>
      </c>
      <c r="D85" s="59">
        <v>1</v>
      </c>
      <c r="E85" s="42"/>
      <c r="F85" s="42"/>
      <c r="G85" s="42"/>
      <c r="H85" s="42">
        <v>0</v>
      </c>
    </row>
    <row r="86" spans="1:8" x14ac:dyDescent="0.25">
      <c r="A86" s="64"/>
      <c r="B86" s="64"/>
      <c r="C86" s="59" t="s">
        <v>8</v>
      </c>
      <c r="D86" s="59">
        <v>1</v>
      </c>
      <c r="E86" s="42"/>
      <c r="F86" s="42"/>
      <c r="G86" s="42"/>
      <c r="H86" s="42">
        <v>0</v>
      </c>
    </row>
    <row r="87" spans="1:8" x14ac:dyDescent="0.25">
      <c r="A87" s="64"/>
      <c r="B87" s="64"/>
      <c r="C87" s="59" t="s">
        <v>56</v>
      </c>
      <c r="D87" s="59">
        <v>1</v>
      </c>
      <c r="E87" s="42"/>
      <c r="F87" s="42"/>
      <c r="G87" s="42"/>
      <c r="H87" s="42">
        <v>0</v>
      </c>
    </row>
    <row r="88" spans="1:8" x14ac:dyDescent="0.25">
      <c r="A88" s="64"/>
      <c r="B88" s="64"/>
      <c r="C88" s="59" t="s">
        <v>56</v>
      </c>
      <c r="D88" s="59">
        <v>1</v>
      </c>
      <c r="E88" s="42"/>
      <c r="F88" s="42"/>
      <c r="G88" s="42"/>
      <c r="H88" s="42">
        <v>0</v>
      </c>
    </row>
    <row r="89" spans="1:8" x14ac:dyDescent="0.25">
      <c r="A89" s="64"/>
      <c r="B89" s="64"/>
      <c r="C89" s="59" t="s">
        <v>56</v>
      </c>
      <c r="D89" s="59">
        <v>1</v>
      </c>
      <c r="E89" s="42"/>
      <c r="F89" s="42"/>
      <c r="G89" s="42"/>
      <c r="H89" s="42">
        <v>0</v>
      </c>
    </row>
    <row r="90" spans="1:8" x14ac:dyDescent="0.25">
      <c r="A90" s="64"/>
      <c r="B90" s="64"/>
      <c r="C90" s="59" t="s">
        <v>6</v>
      </c>
      <c r="D90" s="59">
        <v>1</v>
      </c>
      <c r="E90" s="42"/>
      <c r="F90" s="42"/>
      <c r="G90" s="42"/>
      <c r="H90" s="42">
        <v>0</v>
      </c>
    </row>
    <row r="91" spans="1:8" x14ac:dyDescent="0.25">
      <c r="A91" s="64"/>
      <c r="B91" s="64"/>
      <c r="C91" s="59" t="s">
        <v>57</v>
      </c>
      <c r="D91" s="59">
        <v>1</v>
      </c>
      <c r="E91" s="42"/>
      <c r="F91" s="42"/>
      <c r="G91" s="42"/>
      <c r="H91" s="42">
        <v>0</v>
      </c>
    </row>
    <row r="92" spans="1:8" x14ac:dyDescent="0.25">
      <c r="A92" s="64"/>
      <c r="B92" s="64"/>
      <c r="C92" s="59" t="s">
        <v>57</v>
      </c>
      <c r="D92" s="59">
        <v>1</v>
      </c>
      <c r="E92" s="42"/>
      <c r="F92" s="42"/>
      <c r="G92" s="42"/>
      <c r="H92" s="42">
        <v>0</v>
      </c>
    </row>
    <row r="93" spans="1:8" x14ac:dyDescent="0.25">
      <c r="A93" s="64"/>
      <c r="B93" s="64"/>
      <c r="C93" s="59" t="s">
        <v>57</v>
      </c>
      <c r="D93" s="59">
        <v>1</v>
      </c>
      <c r="E93" s="42"/>
      <c r="F93" s="42"/>
      <c r="G93" s="42"/>
      <c r="H93" s="42">
        <v>0</v>
      </c>
    </row>
    <row r="94" spans="1:8" x14ac:dyDescent="0.25">
      <c r="A94" s="64"/>
      <c r="B94" s="64"/>
      <c r="C94" s="59" t="s">
        <v>57</v>
      </c>
      <c r="D94" s="59">
        <v>1</v>
      </c>
      <c r="E94" s="42"/>
      <c r="F94" s="42"/>
      <c r="G94" s="42"/>
      <c r="H94" s="42">
        <v>0</v>
      </c>
    </row>
    <row r="95" spans="1:8" x14ac:dyDescent="0.25">
      <c r="A95" s="64"/>
      <c r="B95" s="64"/>
      <c r="C95" s="59" t="s">
        <v>57</v>
      </c>
      <c r="D95" s="59">
        <v>1</v>
      </c>
      <c r="E95" s="42"/>
      <c r="F95" s="42"/>
      <c r="G95" s="42"/>
      <c r="H95" s="42">
        <v>0</v>
      </c>
    </row>
    <row r="96" spans="1:8" x14ac:dyDescent="0.25">
      <c r="A96" s="64"/>
      <c r="B96" s="64"/>
      <c r="C96" s="59" t="s">
        <v>57</v>
      </c>
      <c r="D96" s="59">
        <v>1</v>
      </c>
      <c r="E96" s="42"/>
      <c r="F96" s="42"/>
      <c r="G96" s="42"/>
      <c r="H96" s="42">
        <v>0</v>
      </c>
    </row>
    <row r="97" spans="1:8" x14ac:dyDescent="0.25">
      <c r="A97" s="64"/>
      <c r="B97" s="64"/>
      <c r="C97" s="59" t="s">
        <v>7</v>
      </c>
      <c r="D97" s="59">
        <v>1</v>
      </c>
      <c r="E97" s="42"/>
      <c r="F97" s="42"/>
      <c r="G97" s="42"/>
      <c r="H97" s="42">
        <v>0</v>
      </c>
    </row>
    <row r="98" spans="1:8" x14ac:dyDescent="0.25">
      <c r="A98" s="64"/>
      <c r="B98" s="64"/>
      <c r="C98" s="59" t="s">
        <v>7</v>
      </c>
      <c r="D98" s="59">
        <v>1</v>
      </c>
      <c r="E98" s="42"/>
      <c r="F98" s="42"/>
      <c r="G98" s="42"/>
      <c r="H98" s="42">
        <v>0</v>
      </c>
    </row>
    <row r="99" spans="1:8" x14ac:dyDescent="0.25">
      <c r="A99" s="64"/>
      <c r="B99" s="64"/>
      <c r="C99" s="59" t="s">
        <v>7</v>
      </c>
      <c r="D99" s="59">
        <v>1</v>
      </c>
      <c r="E99" s="42"/>
      <c r="F99" s="42"/>
      <c r="G99" s="42"/>
      <c r="H99" s="42">
        <v>0</v>
      </c>
    </row>
    <row r="100" spans="1:8" x14ac:dyDescent="0.25">
      <c r="A100" s="64"/>
      <c r="B100" s="64"/>
      <c r="C100" s="59" t="s">
        <v>7</v>
      </c>
      <c r="D100" s="59">
        <v>1</v>
      </c>
      <c r="E100" s="42"/>
      <c r="F100" s="42"/>
      <c r="G100" s="42"/>
      <c r="H100" s="42">
        <v>0</v>
      </c>
    </row>
    <row r="101" spans="1:8" x14ac:dyDescent="0.25">
      <c r="A101" s="64"/>
      <c r="B101" s="64"/>
      <c r="C101" s="59" t="s">
        <v>7</v>
      </c>
      <c r="D101" s="59">
        <v>1</v>
      </c>
      <c r="E101" s="42"/>
      <c r="F101" s="42"/>
      <c r="G101" s="42"/>
      <c r="H101" s="42">
        <v>0</v>
      </c>
    </row>
    <row r="102" spans="1:8" x14ac:dyDescent="0.25">
      <c r="A102" s="64"/>
      <c r="B102" s="64"/>
      <c r="C102" s="59" t="s">
        <v>7</v>
      </c>
      <c r="D102" s="59">
        <v>1</v>
      </c>
      <c r="E102" s="42"/>
      <c r="F102" s="42"/>
      <c r="G102" s="42"/>
      <c r="H102" s="42">
        <v>0</v>
      </c>
    </row>
    <row r="103" spans="1:8" x14ac:dyDescent="0.25">
      <c r="A103" s="64"/>
      <c r="B103" s="64"/>
      <c r="C103" s="59" t="s">
        <v>5</v>
      </c>
      <c r="D103" s="59">
        <v>1</v>
      </c>
      <c r="E103" s="42"/>
      <c r="F103" s="42"/>
      <c r="G103" s="42"/>
      <c r="H103" s="42">
        <v>0</v>
      </c>
    </row>
    <row r="104" spans="1:8" x14ac:dyDescent="0.25">
      <c r="A104" s="64"/>
      <c r="B104" s="64"/>
      <c r="C104" s="59" t="s">
        <v>5</v>
      </c>
      <c r="D104" s="59">
        <v>1</v>
      </c>
      <c r="E104" s="42"/>
      <c r="F104" s="42"/>
      <c r="G104" s="42"/>
      <c r="H104" s="42">
        <v>0</v>
      </c>
    </row>
    <row r="105" spans="1:8" x14ac:dyDescent="0.25">
      <c r="A105" s="64"/>
      <c r="B105" s="64"/>
      <c r="C105" s="59" t="s">
        <v>5</v>
      </c>
      <c r="D105" s="59">
        <v>1</v>
      </c>
      <c r="E105" s="42"/>
      <c r="F105" s="42"/>
      <c r="G105" s="42"/>
      <c r="H105" s="42">
        <v>0</v>
      </c>
    </row>
    <row r="106" spans="1:8" x14ac:dyDescent="0.25">
      <c r="A106" s="64"/>
      <c r="B106" s="64"/>
      <c r="C106" s="59" t="s">
        <v>5</v>
      </c>
      <c r="D106" s="59">
        <v>1</v>
      </c>
      <c r="E106" s="42"/>
      <c r="F106" s="42"/>
      <c r="G106" s="42"/>
      <c r="H106" s="42">
        <v>0</v>
      </c>
    </row>
    <row r="107" spans="1:8" x14ac:dyDescent="0.25">
      <c r="A107" s="64"/>
      <c r="B107" s="64"/>
    </row>
    <row r="108" spans="1:8" x14ac:dyDescent="0.25">
      <c r="A108" s="64"/>
      <c r="B108" s="64"/>
    </row>
    <row r="109" spans="1:8" x14ac:dyDescent="0.25">
      <c r="A109" s="64"/>
      <c r="B109" s="64"/>
    </row>
    <row r="110" spans="1:8" x14ac:dyDescent="0.25">
      <c r="A110" s="64"/>
      <c r="B110" s="64"/>
    </row>
    <row r="111" spans="1:8" x14ac:dyDescent="0.25">
      <c r="A111" s="64"/>
      <c r="B111" s="64"/>
    </row>
    <row r="112" spans="1:8" x14ac:dyDescent="0.25">
      <c r="A112" s="64"/>
      <c r="B112" s="64"/>
    </row>
    <row r="113" spans="1:2" x14ac:dyDescent="0.25">
      <c r="A113" s="64"/>
      <c r="B113" s="64"/>
    </row>
  </sheetData>
  <mergeCells count="2">
    <mergeCell ref="J2:K2"/>
    <mergeCell ref="X8:X13"/>
  </mergeCells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Circuit</vt:lpstr>
      <vt:lpstr>Données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 Szymanski</dc:creator>
  <cp:lastModifiedBy>2maxi</cp:lastModifiedBy>
  <dcterms:created xsi:type="dcterms:W3CDTF">2019-11-15T12:40:18Z</dcterms:created>
  <dcterms:modified xsi:type="dcterms:W3CDTF">2019-12-30T20:17:37Z</dcterms:modified>
</cp:coreProperties>
</file>